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ORIF" sheetId="1" r:id="rId4"/>
    <sheet state="visible" name="Vlookup" sheetId="2" r:id="rId5"/>
    <sheet state="visible" name="Pivottable" sheetId="3" r:id="rId6"/>
    <sheet state="visible" name="Goal Seek" sheetId="4" r:id="rId7"/>
    <sheet state="visible" name="Dataset" sheetId="5" r:id="rId8"/>
  </sheets>
  <definedNames>
    <definedName name="Slicer_Years">#REF!</definedName>
    <definedName name="Slicer_Product_Category">#REF!</definedName>
    <definedName name="Slicer_Order_Date">#REF!</definedName>
    <definedName name="Slicer_Product_Name">#REF!</definedName>
    <definedName name="Slicer_Key_Account_Manager">#REF!</definedName>
    <definedName hidden="1" localSheetId="4" name="Z_4A84C196_B509_4160_A9AF_F8AB98F83D93_.wvu.FilterData">Dataset!$A$2:$J$143</definedName>
  </definedNames>
  <calcPr/>
  <customWorkbookViews>
    <customWorkbookView activeSheetId="0" maximized="1" windowHeight="0" windowWidth="0" guid="{4A84C196-B509-4160-A9AF-F8AB98F83D93}" name="Table1 filter view"/>
  </customWorkbookViews>
  <extLst>
    <ext uri="GoogleSheetsCustomDataVersion2">
      <go:sheetsCustomData xmlns:go="http://customooxmlschemas.google.com/" r:id="rId9" roundtripDataChecksum="dnYwUpm0ko6XA6MfcOIfw/AQHAupJdkBnL7yD9hlRdU="/>
    </ext>
  </extLst>
</workbook>
</file>

<file path=xl/sharedStrings.xml><?xml version="1.0" encoding="utf-8"?>
<sst xmlns="http://schemas.openxmlformats.org/spreadsheetml/2006/main" count="1015" uniqueCount="365">
  <si>
    <t>Employee</t>
  </si>
  <si>
    <t>Employee ID</t>
  </si>
  <si>
    <t>Department</t>
  </si>
  <si>
    <t>Salary</t>
  </si>
  <si>
    <t>Sales</t>
  </si>
  <si>
    <t>If</t>
  </si>
  <si>
    <t>Name</t>
  </si>
  <si>
    <t>And</t>
  </si>
  <si>
    <t>Rahim</t>
  </si>
  <si>
    <t>Goal Seek</t>
  </si>
  <si>
    <t>City</t>
  </si>
  <si>
    <t>Performance</t>
  </si>
  <si>
    <t>Product ID</t>
  </si>
  <si>
    <t>Product Name</t>
  </si>
  <si>
    <t>Category</t>
  </si>
  <si>
    <t>Expiry Date</t>
  </si>
  <si>
    <t>Marks</t>
  </si>
  <si>
    <t>Stock</t>
  </si>
  <si>
    <t>E101</t>
  </si>
  <si>
    <t>Englis</t>
  </si>
  <si>
    <t>Bangla</t>
  </si>
  <si>
    <t>Dhaka</t>
  </si>
  <si>
    <t>Excellent</t>
  </si>
  <si>
    <t>BGS</t>
  </si>
  <si>
    <t>P101</t>
  </si>
  <si>
    <t>Math</t>
  </si>
  <si>
    <t>Milk Powder</t>
  </si>
  <si>
    <t>Dairy</t>
  </si>
  <si>
    <t>15/09/2026</t>
  </si>
  <si>
    <t>Total</t>
  </si>
  <si>
    <t>Product Id</t>
  </si>
  <si>
    <t>Date</t>
  </si>
  <si>
    <t>E102</t>
  </si>
  <si>
    <t>Karim</t>
  </si>
  <si>
    <t>HR</t>
  </si>
  <si>
    <t>Chittagong</t>
  </si>
  <si>
    <t>Good</t>
  </si>
  <si>
    <t>P102</t>
  </si>
  <si>
    <t>Biscuit</t>
  </si>
  <si>
    <t>Food</t>
  </si>
  <si>
    <t>22/10/2026</t>
  </si>
  <si>
    <t>P108</t>
  </si>
  <si>
    <t>E103</t>
  </si>
  <si>
    <t>Siam</t>
  </si>
  <si>
    <t>IT</t>
  </si>
  <si>
    <t>P103</t>
  </si>
  <si>
    <t>Juice</t>
  </si>
  <si>
    <t>Beverage</t>
  </si>
  <si>
    <t>E104</t>
  </si>
  <si>
    <t>Rakib</t>
  </si>
  <si>
    <t>Sylhet</t>
  </si>
  <si>
    <t>Average</t>
  </si>
  <si>
    <t>P104</t>
  </si>
  <si>
    <t>Chocolate</t>
  </si>
  <si>
    <t>18/12/2026</t>
  </si>
  <si>
    <t>E105</t>
  </si>
  <si>
    <t>Hasan</t>
  </si>
  <si>
    <t>P105</t>
  </si>
  <si>
    <t>Yogurt</t>
  </si>
  <si>
    <t>E106</t>
  </si>
  <si>
    <t>Nayeem</t>
  </si>
  <si>
    <t>P106</t>
  </si>
  <si>
    <t>Sauce</t>
  </si>
  <si>
    <t>Grocery</t>
  </si>
  <si>
    <t>25/01/2027</t>
  </si>
  <si>
    <t>E107</t>
  </si>
  <si>
    <t>Fahim</t>
  </si>
  <si>
    <t>P107</t>
  </si>
  <si>
    <t>Noodles</t>
  </si>
  <si>
    <t>14/02/2027</t>
  </si>
  <si>
    <t>E108</t>
  </si>
  <si>
    <t>Jamil</t>
  </si>
  <si>
    <t>Coffee</t>
  </si>
  <si>
    <t>30/11/2026</t>
  </si>
  <si>
    <t>E109</t>
  </si>
  <si>
    <t>Arif</t>
  </si>
  <si>
    <t>P109</t>
  </si>
  <si>
    <t>Cheese</t>
  </si>
  <si>
    <t>E110</t>
  </si>
  <si>
    <t>Sakib</t>
  </si>
  <si>
    <t>P110</t>
  </si>
  <si>
    <t>Cereal</t>
  </si>
  <si>
    <t>20/03/2027</t>
  </si>
  <si>
    <t>ID</t>
  </si>
  <si>
    <t>Row Labels</t>
  </si>
  <si>
    <t>Count of Product</t>
  </si>
  <si>
    <t>Sum of Cost</t>
  </si>
  <si>
    <t>ByteCraft Systems</t>
  </si>
  <si>
    <t>CloudPeak Innovations</t>
  </si>
  <si>
    <t>CodeMatrix Labs</t>
  </si>
  <si>
    <t>DataWave Systems</t>
  </si>
  <si>
    <t>FutureLink IT</t>
  </si>
  <si>
    <t>NextGen Soft Ltd</t>
  </si>
  <si>
    <t>NovaCore Technologies</t>
  </si>
  <si>
    <t>PixelBridge Tech</t>
  </si>
  <si>
    <t>SmartHive Digital</t>
  </si>
  <si>
    <t>TechNova Solutions</t>
  </si>
  <si>
    <t>Grand Total</t>
  </si>
  <si>
    <t>Sl No</t>
  </si>
  <si>
    <t>Order No</t>
  </si>
  <si>
    <t>Order Date</t>
  </si>
  <si>
    <t>Key Account Manager</t>
  </si>
  <si>
    <t>Order Priority</t>
  </si>
  <si>
    <t>Product Category</t>
  </si>
  <si>
    <t>Ship Date</t>
  </si>
  <si>
    <t>Cost Price</t>
  </si>
  <si>
    <t>6576-1</t>
  </si>
  <si>
    <t>Jahid Siddiqye</t>
  </si>
  <si>
    <t>Low</t>
  </si>
  <si>
    <t>Barrel Sharpener</t>
  </si>
  <si>
    <t>Office Supplies</t>
  </si>
  <si>
    <t>6574-1</t>
  </si>
  <si>
    <t>Atif Akash</t>
  </si>
  <si>
    <t>Not Specified</t>
  </si>
  <si>
    <t>Cando S750 Color Inkjet Printer</t>
  </si>
  <si>
    <t>Technology</t>
  </si>
  <si>
    <t>6558-1</t>
  </si>
  <si>
    <t>Rakibul Alam</t>
  </si>
  <si>
    <t>Critical</t>
  </si>
  <si>
    <t>Alto Parchment Paper, Assorted Colors</t>
  </si>
  <si>
    <t>6555-1</t>
  </si>
  <si>
    <t>Sofiqul Islam</t>
  </si>
  <si>
    <t>Apex Straight Scissors</t>
  </si>
  <si>
    <t>6548-1</t>
  </si>
  <si>
    <t>Artisan 474 Labels</t>
  </si>
  <si>
    <t>6535-1</t>
  </si>
  <si>
    <t>Rafi Hawlader</t>
  </si>
  <si>
    <t>Office Shears by Apex</t>
  </si>
  <si>
    <t>6534-1</t>
  </si>
  <si>
    <t>Adesso Programmable 142-Key Keyboard</t>
  </si>
  <si>
    <t>6532-1</t>
  </si>
  <si>
    <t>Apex Box Cutter Scissors</t>
  </si>
  <si>
    <t>6515-1</t>
  </si>
  <si>
    <t>Rayhan Tanjim</t>
  </si>
  <si>
    <t>6515-2</t>
  </si>
  <si>
    <t>Md Sabbir</t>
  </si>
  <si>
    <t>OIC Thumb-Tacks</t>
  </si>
  <si>
    <t>6523-1</t>
  </si>
  <si>
    <t>Bagged Rubber Bands</t>
  </si>
  <si>
    <t>6499-1</t>
  </si>
  <si>
    <t>Steady Major Accent Highlighters</t>
  </si>
  <si>
    <t>6496-1</t>
  </si>
  <si>
    <t>Al Amin Et</t>
  </si>
  <si>
    <t>Medium</t>
  </si>
  <si>
    <t>Brown Kraft Recycled Envelopes</t>
  </si>
  <si>
    <t>6485-1</t>
  </si>
  <si>
    <t>Laser DVD-RAM discs</t>
  </si>
  <si>
    <t>6484-1</t>
  </si>
  <si>
    <t>Mimo Hasan</t>
  </si>
  <si>
    <t>High</t>
  </si>
  <si>
    <t>6475-1</t>
  </si>
  <si>
    <t>Steady Colorific Colored Pencils, 12/Box</t>
  </si>
  <si>
    <t>6451-1</t>
  </si>
  <si>
    <t>Artisan Durable Binders</t>
  </si>
  <si>
    <t>6445-1</t>
  </si>
  <si>
    <t>Artisan 479 Labels</t>
  </si>
  <si>
    <t>6442-1</t>
  </si>
  <si>
    <t>6425-1</t>
  </si>
  <si>
    <t>Smiths Colored Interoffice Envelopes</t>
  </si>
  <si>
    <t>6426-1</t>
  </si>
  <si>
    <t>6415-1</t>
  </si>
  <si>
    <t>Beekin 6 Outlet Metallic Surge Strip</t>
  </si>
  <si>
    <t>6403-1</t>
  </si>
  <si>
    <t>Artisan Printable Repositionable Plastic Tabs</t>
  </si>
  <si>
    <t>6409-1</t>
  </si>
  <si>
    <t>Wirebound Message Book, 4 per Page</t>
  </si>
  <si>
    <t>6403-2</t>
  </si>
  <si>
    <t>Economy Rollaway Files</t>
  </si>
  <si>
    <t>6391-1</t>
  </si>
  <si>
    <t>TechSavi Access Keyboard</t>
  </si>
  <si>
    <t>6390-1</t>
  </si>
  <si>
    <t>Alto Memo Cubes</t>
  </si>
  <si>
    <t>6380-1</t>
  </si>
  <si>
    <t>600 Series Non-Flip</t>
  </si>
  <si>
    <t>6352-1</t>
  </si>
  <si>
    <t>6342-1</t>
  </si>
  <si>
    <t>Artisan Flip-Chart Easel Binder, Black</t>
  </si>
  <si>
    <t>6335-1</t>
  </si>
  <si>
    <t>DrawIt Colored Pencils, 48-Color Set</t>
  </si>
  <si>
    <t>6321-1</t>
  </si>
  <si>
    <t>Steady Liquid Accent Tank-Style Highlighters</t>
  </si>
  <si>
    <t>6319-1</t>
  </si>
  <si>
    <t>Abu Nahid</t>
  </si>
  <si>
    <t>Artisan 481 Labels</t>
  </si>
  <si>
    <t>6311-1</t>
  </si>
  <si>
    <t>Multi-Use Personal File Cart and Caster Set, Three Stacking Bins</t>
  </si>
  <si>
    <t>Office Supplies and banghladesh</t>
  </si>
  <si>
    <t>6304-1</t>
  </si>
  <si>
    <t>Smiths General Use 3-Ring Binders</t>
  </si>
  <si>
    <t>6302-1</t>
  </si>
  <si>
    <t>6300-1</t>
  </si>
  <si>
    <t>Aluminum Document Frame</t>
  </si>
  <si>
    <t>Furniture</t>
  </si>
  <si>
    <t>6294-1</t>
  </si>
  <si>
    <t>Artisan 487 Labels</t>
  </si>
  <si>
    <t>6261-1</t>
  </si>
  <si>
    <t>Atif Siddique</t>
  </si>
  <si>
    <t>DrawIt Pizazz Watercolor Pencils, 10-Color Set with Brush</t>
  </si>
  <si>
    <t>6231-1</t>
  </si>
  <si>
    <t>Artisan File Folder Labels</t>
  </si>
  <si>
    <t>6222-1</t>
  </si>
  <si>
    <t>Steady 52201 APSCO Electric Pencil Sharpener</t>
  </si>
  <si>
    <t>6221-1</t>
  </si>
  <si>
    <t>Artisan Hole Reinforcements</t>
  </si>
  <si>
    <t>6213-1</t>
  </si>
  <si>
    <t>Cando PC940 Copier</t>
  </si>
  <si>
    <t>6208-1</t>
  </si>
  <si>
    <t>Saklayen Sajid</t>
  </si>
  <si>
    <t>Unpadded Memo Slips</t>
  </si>
  <si>
    <t>6196-1</t>
  </si>
  <si>
    <t>Multimedia Mailers</t>
  </si>
  <si>
    <t>6203-1</t>
  </si>
  <si>
    <t>6177-1</t>
  </si>
  <si>
    <t>6176-1</t>
  </si>
  <si>
    <t>UGen Ultra Professional Cordless Optical Suite</t>
  </si>
  <si>
    <t>6169-1</t>
  </si>
  <si>
    <t>Laser Neon Mac Format Diskettes, 10/Pack</t>
  </si>
  <si>
    <t>6165-1</t>
  </si>
  <si>
    <t>TechSavi Cordless Access Keyboard</t>
  </si>
  <si>
    <t>6157-1</t>
  </si>
  <si>
    <t>6143-2</t>
  </si>
  <si>
    <t>6143-1</t>
  </si>
  <si>
    <t>Beekin 105-Key Black Keyboard</t>
  </si>
  <si>
    <t>6136-1</t>
  </si>
  <si>
    <t>6119-1</t>
  </si>
  <si>
    <t>Smiths Pen Style Liquid Stix; Assorted (yellow, pink, green, blue, orange), 5/Pack</t>
  </si>
  <si>
    <t>6112-1</t>
  </si>
  <si>
    <t>Binder Clips by OIC</t>
  </si>
  <si>
    <t>6114-1</t>
  </si>
  <si>
    <t>6094-1</t>
  </si>
  <si>
    <t>Sajedul Karim</t>
  </si>
  <si>
    <t>Artisan Reinforcements for Hole-Punch Pages</t>
  </si>
  <si>
    <t>6085-1</t>
  </si>
  <si>
    <t>Emerson Stylus 1520 Color Inkjet Printer</t>
  </si>
  <si>
    <t>6083-1</t>
  </si>
  <si>
    <t>Saiful Karim</t>
  </si>
  <si>
    <t>Artisan Hi-Liter Comfort Grip Fluorescent Highlighter, Yellow Ink</t>
  </si>
  <si>
    <t>6074-1</t>
  </si>
  <si>
    <t>3Max Organizer Strips</t>
  </si>
  <si>
    <t>6065-1</t>
  </si>
  <si>
    <t>Pizazz Colored Pencils</t>
  </si>
  <si>
    <t>6042-1</t>
  </si>
  <si>
    <t>6029-1</t>
  </si>
  <si>
    <t>Self-Adhesive Ring Binder Labels</t>
  </si>
  <si>
    <t>6019-1</t>
  </si>
  <si>
    <t>6014-2</t>
  </si>
  <si>
    <t>Apex Forged Steel Scissors with Black Enamel Handles</t>
  </si>
  <si>
    <t>6021-1</t>
  </si>
  <si>
    <t>Abdur Razzak</t>
  </si>
  <si>
    <t>6014-1</t>
  </si>
  <si>
    <t>Alto 3-Hole Punch</t>
  </si>
  <si>
    <t>6006-1</t>
  </si>
  <si>
    <t>6005-1</t>
  </si>
  <si>
    <t>TechSavi Cordless Navigator Duo</t>
  </si>
  <si>
    <t>5965-1</t>
  </si>
  <si>
    <t>1726 Digital ADhakaering Machine</t>
  </si>
  <si>
    <t>5951-1</t>
  </si>
  <si>
    <t>5944-1</t>
  </si>
  <si>
    <t>5937-1</t>
  </si>
  <si>
    <t>5931-1</t>
  </si>
  <si>
    <t>5925-1</t>
  </si>
  <si>
    <t>Akkas Miah</t>
  </si>
  <si>
    <t>5908-1</t>
  </si>
  <si>
    <t>UGen RF Keyboard</t>
  </si>
  <si>
    <t>5904-1</t>
  </si>
  <si>
    <t>5861-1</t>
  </si>
  <si>
    <t>Binder Posts</t>
  </si>
  <si>
    <t>5852-1</t>
  </si>
  <si>
    <t>Pizazz Drawing Pencil Set</t>
  </si>
  <si>
    <t>5778-1</t>
  </si>
  <si>
    <t>5777-1</t>
  </si>
  <si>
    <t>5762-1</t>
  </si>
  <si>
    <t>Artisan Hi-Liter EverBold Pen Style Fluorescent Highlighters, 4/Pack</t>
  </si>
  <si>
    <t>5762-2</t>
  </si>
  <si>
    <t>5747-1</t>
  </si>
  <si>
    <t>Smiths Standard Envelopes</t>
  </si>
  <si>
    <t>5749-1</t>
  </si>
  <si>
    <t>Wirebound Voice Message Log Book</t>
  </si>
  <si>
    <t>5731-1</t>
  </si>
  <si>
    <t>Artisan Round Ring Poly Binders</t>
  </si>
  <si>
    <t>5724-2</t>
  </si>
  <si>
    <t>Smiths Bulldog Clip</t>
  </si>
  <si>
    <t>5724-1</t>
  </si>
  <si>
    <t>5712-1</t>
  </si>
  <si>
    <t>5699-1</t>
  </si>
  <si>
    <t>5680-1</t>
  </si>
  <si>
    <t>TechSavi Internet Navigator Keyboard</t>
  </si>
  <si>
    <t>5677-1</t>
  </si>
  <si>
    <t>Security-Tint Envelopes</t>
  </si>
  <si>
    <t>5647-1</t>
  </si>
  <si>
    <t>5619-1</t>
  </si>
  <si>
    <t>Shimul Mustafa</t>
  </si>
  <si>
    <t>Artisan Poly Binder Pockets</t>
  </si>
  <si>
    <t>5581-1</t>
  </si>
  <si>
    <t>5576-1</t>
  </si>
  <si>
    <t>5562-1</t>
  </si>
  <si>
    <t>Smiths Metal Binder Clips</t>
  </si>
  <si>
    <t>5548-1</t>
  </si>
  <si>
    <t>Salehin Rasel</t>
  </si>
  <si>
    <t>5477-1</t>
  </si>
  <si>
    <t>OIC Colored Binder Clips, Assorted Sizes</t>
  </si>
  <si>
    <t>5460-1</t>
  </si>
  <si>
    <t>5456-1</t>
  </si>
  <si>
    <t>5451-1</t>
  </si>
  <si>
    <t>DrawIt Colored Pencils</t>
  </si>
  <si>
    <t>5436-1</t>
  </si>
  <si>
    <t>Airmail Envelopes</t>
  </si>
  <si>
    <t>5398-1</t>
  </si>
  <si>
    <t>UGen Ultra Cordless Optical Suite</t>
  </si>
  <si>
    <t>5391-1</t>
  </si>
  <si>
    <t>5386-1</t>
  </si>
  <si>
    <t>Emerson C82 Color Inkjet Printer</t>
  </si>
  <si>
    <t>5383-1</t>
  </si>
  <si>
    <t>Artisan 48 Labels</t>
  </si>
  <si>
    <t>5381-1</t>
  </si>
  <si>
    <t>Emerson LQ-870 Dot Matrix Printer</t>
  </si>
  <si>
    <t>5362-1</t>
  </si>
  <si>
    <t>5360-1</t>
  </si>
  <si>
    <t>5358-1</t>
  </si>
  <si>
    <t>Artisan Heavy-Duty EZD  Binder With Locking Rings</t>
  </si>
  <si>
    <t>5358-2</t>
  </si>
  <si>
    <t>Desktop 3-Pocket Hot File</t>
  </si>
  <si>
    <t>5313-1</t>
  </si>
  <si>
    <t>5309-1</t>
  </si>
  <si>
    <t>5274-1</t>
  </si>
  <si>
    <t>300 Series Non-Flip</t>
  </si>
  <si>
    <t>5274-2</t>
  </si>
  <si>
    <t>5248-1</t>
  </si>
  <si>
    <t>5247-1</t>
  </si>
  <si>
    <t>Artisan Arch Ring Binders</t>
  </si>
  <si>
    <t>5244-1</t>
  </si>
  <si>
    <t>5239-1</t>
  </si>
  <si>
    <t>5235-1</t>
  </si>
  <si>
    <t>5212-1</t>
  </si>
  <si>
    <t>5194-1</t>
  </si>
  <si>
    <t>5185-1</t>
  </si>
  <si>
    <t>Artisan Hanging File Binders</t>
  </si>
  <si>
    <t>5180-1</t>
  </si>
  <si>
    <t>Economy Binders</t>
  </si>
  <si>
    <t>5165-1</t>
  </si>
  <si>
    <t>Al Amin</t>
  </si>
  <si>
    <t>Artisan Non-Stick Binders</t>
  </si>
  <si>
    <t>5163-1</t>
  </si>
  <si>
    <t>TypeRight  Top-Opening Peel &amp; Seel  Envelopes, Gray</t>
  </si>
  <si>
    <t>5135-1</t>
  </si>
  <si>
    <t>5124-1</t>
  </si>
  <si>
    <t>Apex Elite Stainless Steel Scissors</t>
  </si>
  <si>
    <t>5120-1</t>
  </si>
  <si>
    <t>5119-1</t>
  </si>
  <si>
    <t>Artisan Hi-Liter Fluorescent Desk Style Markers</t>
  </si>
  <si>
    <t>5117-1</t>
  </si>
  <si>
    <t>Miton Kakon</t>
  </si>
  <si>
    <t>5113-1</t>
  </si>
  <si>
    <t>Alto Perma 2700 Stacking Storage Drawers</t>
  </si>
  <si>
    <t>5101-1</t>
  </si>
  <si>
    <t>5097-1</t>
  </si>
  <si>
    <t>Artisan Legal 4-Ring Binder</t>
  </si>
  <si>
    <t>5091-1</t>
  </si>
  <si>
    <t>210 Trimline Phone, White</t>
  </si>
  <si>
    <t>5089-1</t>
  </si>
  <si>
    <t>5049-1</t>
  </si>
  <si>
    <t>5043-1</t>
  </si>
  <si>
    <t>Smiths Gold Paper Clips</t>
  </si>
  <si>
    <t>5020-1</t>
  </si>
  <si>
    <t>Steady EarthWrite Recycled Pencils, Medium Soft, #2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</si>
</sst>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(\$#,##0.00\);\$#,##0.00"/>
  </numFmts>
  <fonts count="10">
    <font>
      <sz val="12.0"/>
      <color theme="1"/>
      <name val="Times New Roman"/>
      <scheme val="minor"/>
    </font>
    <font>
      <b/>
      <sz val="12.0"/>
      <color rgb="FFCC0000"/>
      <name val="Times New Roman"/>
    </font>
    <font>
      <b/>
      <sz val="12.0"/>
      <color rgb="FF9900FF"/>
      <name val="Times New Roman"/>
    </font>
    <font>
      <b/>
      <color rgb="FFCC0000"/>
      <name val="Times New Roman"/>
      <scheme val="minor"/>
    </font>
    <font>
      <sz val="12.0"/>
      <color theme="1"/>
      <name val="Times New Roman"/>
    </font>
    <font>
      <sz val="12.0"/>
      <color rgb="FFFF0000"/>
      <name val="Times New Roman"/>
    </font>
    <font>
      <b/>
      <sz val="12.0"/>
      <color theme="1"/>
      <name val="Times New Roman"/>
    </font>
    <font>
      <color theme="1"/>
      <name val="Times New Roman"/>
      <scheme val="minor"/>
    </font>
    <font>
      <i/>
      <sz val="12.0"/>
      <color rgb="FFFFFFFF"/>
      <name val="Times New Roman"/>
    </font>
    <font>
      <i/>
      <sz val="11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theme="7"/>
        <bgColor theme="7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  <fill>
      <patternFill patternType="solid">
        <fgColor rgb="FFECECEC"/>
        <bgColor rgb="FFECECE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right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vertical="center"/>
    </xf>
    <xf borderId="1" fillId="3" fontId="4" numFmtId="14" xfId="0" applyAlignment="1" applyBorder="1" applyFill="1" applyFont="1" applyNumberFormat="1">
      <alignment horizontal="center" shrinkToFit="0" vertical="center" wrapText="1"/>
    </xf>
    <xf borderId="0" fillId="5" fontId="4" numFmtId="0" xfId="0" applyAlignment="1" applyFill="1" applyFont="1">
      <alignment horizontal="center"/>
    </xf>
    <xf borderId="0" fillId="5" fontId="7" numFmtId="0" xfId="0" applyAlignment="1" applyFill="1" applyFont="1">
      <alignment horizontal="center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2" fillId="6" fontId="8" numFmtId="0" xfId="0" applyAlignment="1" applyBorder="1" applyFill="1" applyFont="1">
      <alignment horizontal="center" readingOrder="0" shrinkToFit="0" vertical="center" wrapText="0"/>
    </xf>
    <xf borderId="3" fillId="6" fontId="8" numFmtId="0" xfId="0" applyAlignment="1" applyBorder="1" applyFill="1" applyFont="1">
      <alignment horizontal="center" readingOrder="0" shrinkToFit="0" vertical="center" wrapText="0"/>
    </xf>
    <xf borderId="4" fillId="6" fontId="8" numFmtId="0" xfId="0" applyAlignment="1" applyBorder="1" applyFill="1" applyFont="1">
      <alignment horizontal="center" readingOrder="0" shrinkToFit="0" vertical="center" wrapText="0"/>
    </xf>
    <xf borderId="5" fillId="0" fontId="9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0" fontId="9" numFmtId="14" xfId="0" applyAlignment="1" applyBorder="1" applyFont="1" applyNumberFormat="1">
      <alignment horizontal="center" shrinkToFit="0" vertical="center" wrapText="0"/>
    </xf>
    <xf borderId="6" fillId="0" fontId="9" numFmtId="0" xfId="0" applyAlignment="1" applyBorder="1" applyFont="1">
      <alignment horizontal="center" shrinkToFit="0" vertical="center" wrapText="0"/>
    </xf>
    <xf borderId="7" fillId="7" fontId="9" numFmtId="0" xfId="0" applyAlignment="1" applyBorder="1" applyFill="1" applyFont="1">
      <alignment horizontal="center" shrinkToFit="0" vertical="center" wrapText="0"/>
    </xf>
    <xf borderId="7" fillId="8" fontId="9" numFmtId="0" xfId="0" applyAlignment="1" applyBorder="1" applyFill="1" applyFont="1">
      <alignment horizontal="center" shrinkToFit="0" vertical="center" wrapText="0"/>
    </xf>
    <xf borderId="1" fillId="0" fontId="9" numFmtId="0" xfId="0" applyAlignment="1" applyBorder="1" applyFont="1">
      <alignment horizontal="center" shrinkToFit="0" vertical="center" wrapText="1"/>
    </xf>
    <xf borderId="1" fillId="8" fontId="9" numFmtId="14" xfId="0" applyAlignment="1" applyBorder="1" applyFill="1" applyFont="1" applyNumberFormat="1">
      <alignment horizontal="center" shrinkToFit="0" vertical="center" wrapText="0"/>
    </xf>
    <xf borderId="1" fillId="7" fontId="9" numFmtId="14" xfId="0" applyAlignment="1" applyBorder="1" applyFill="1" applyFont="1" applyNumberFormat="1">
      <alignment horizontal="center" shrinkToFit="0" vertical="center" wrapText="0"/>
    </xf>
    <xf borderId="1" fillId="7" fontId="9" numFmtId="0" xfId="0" applyAlignment="1" applyBorder="1" applyFill="1" applyFont="1">
      <alignment horizontal="center" shrinkToFit="0" vertical="center" wrapText="0"/>
    </xf>
    <xf borderId="8" fillId="0" fontId="9" numFmtId="0" xfId="0" applyAlignment="1" applyBorder="1" applyFont="1">
      <alignment horizontal="center" shrinkToFit="0" vertical="center" wrapText="0"/>
    </xf>
    <xf borderId="9" fillId="0" fontId="9" numFmtId="0" xfId="0" applyAlignment="1" applyBorder="1" applyFont="1">
      <alignment horizontal="center" shrinkToFit="0" vertical="center" wrapText="0"/>
    </xf>
    <xf borderId="9" fillId="0" fontId="9" numFmtId="14" xfId="0" applyAlignment="1" applyBorder="1" applyFont="1" applyNumberFormat="1">
      <alignment horizontal="center" shrinkToFit="0" vertical="center" wrapText="0"/>
    </xf>
    <xf borderId="10" fillId="0" fontId="9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Data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Pivottable!$B$1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chemeClr val="accent3"/>
              </a:solidFill>
            </c:spPr>
          </c:dPt>
          <c:dPt>
            <c:idx val="9"/>
            <c:spPr>
              <a:solidFill>
                <a:schemeClr val="accent4"/>
              </a:solidFill>
            </c:spPr>
          </c:dPt>
          <c:dPt>
            <c:idx val="10"/>
            <c:spPr>
              <a:solidFill>
                <a:srgbClr val="7C9CD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Pivottable!$A$2:$A$12</c:f>
            </c:strRef>
          </c:cat>
          <c:val>
            <c:numRef>
              <c:f>Pivottable!$B$2:$B$12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695325</xdr:colOff>
      <xdr:row>6</xdr:row>
      <xdr:rowOff>95250</xdr:rowOff>
    </xdr:from>
    <xdr:ext cx="3419475" cy="2952750"/>
    <xdr:graphicFrame>
      <xdr:nvGraphicFramePr>
        <xdr:cNvPr id="187857931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J143" displayName="Table1" name="Table1" id="1">
  <tableColumns count="10">
    <tableColumn name="Sl No" id="1"/>
    <tableColumn name="Order No" id="2"/>
    <tableColumn name="Order Date" id="3"/>
    <tableColumn name="City" id="4"/>
    <tableColumn name="Key Account Manager" id="5"/>
    <tableColumn name="Order Priority" id="6"/>
    <tableColumn name="Product Name" id="7"/>
    <tableColumn name="Product Category" id="8"/>
    <tableColumn name="Ship Date" id="9"/>
    <tableColumn name="Cost Price" id="10"/>
  </tableColumns>
  <tableStyleInfo name="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56"/>
    <col customWidth="1" min="3" max="3" width="11.11"/>
    <col customWidth="1" min="4" max="6" width="8.56"/>
    <col customWidth="1" min="7" max="7" width="12.22"/>
    <col customWidth="1" min="8" max="25" width="8.56"/>
  </cols>
  <sheetData>
    <row r="1"/>
    <row r="2">
      <c r="B2" s="1" t="s">
        <v>0</v>
      </c>
      <c r="C2" s="1" t="s">
        <v>2</v>
      </c>
      <c r="D2" s="1" t="s">
        <v>3</v>
      </c>
      <c r="E2" s="1" t="s">
        <v>4</v>
      </c>
      <c r="F2" s="3" t="s">
        <v>5</v>
      </c>
      <c r="G2" s="3" t="s">
        <v>7</v>
      </c>
    </row>
    <row r="3">
      <c r="B3" s="4" t="s">
        <v>8</v>
      </c>
      <c r="C3" s="4" t="s">
        <v>4</v>
      </c>
      <c r="D3" s="6">
        <v>30000.0</v>
      </c>
      <c r="E3" s="6">
        <v>80000.0</v>
      </c>
      <c r="F3" s="8" t="str">
        <f t="shared" ref="F3:F10" si="1">IF(D3&gt;=30000,"High","Low")</f>
        <v>High</v>
      </c>
      <c r="G3" s="8" t="str">
        <f t="shared" ref="G3:G10" si="2">IF(AND(C2&gt;=30000,D2&gt;=70000),"Bonus","No Bonus")</f>
        <v>Bonus</v>
      </c>
    </row>
    <row r="4">
      <c r="B4" s="4" t="s">
        <v>33</v>
      </c>
      <c r="C4" s="4" t="s">
        <v>34</v>
      </c>
      <c r="D4" s="6">
        <v>35000.0</v>
      </c>
      <c r="E4" s="6">
        <v>45000.0</v>
      </c>
      <c r="F4" s="8" t="str">
        <f t="shared" si="1"/>
        <v>High</v>
      </c>
      <c r="G4" s="8" t="str">
        <f t="shared" si="2"/>
        <v>No Bonus</v>
      </c>
    </row>
    <row r="5">
      <c r="B5" s="4" t="s">
        <v>43</v>
      </c>
      <c r="C5" s="4" t="s">
        <v>4</v>
      </c>
      <c r="D5" s="6">
        <v>28000.0</v>
      </c>
      <c r="E5" s="6">
        <v>70000.0</v>
      </c>
      <c r="F5" s="8" t="str">
        <f t="shared" si="1"/>
        <v>Low</v>
      </c>
      <c r="G5" s="8" t="str">
        <f t="shared" si="2"/>
        <v>No Bonus</v>
      </c>
    </row>
    <row r="6">
      <c r="B6" s="4" t="s">
        <v>49</v>
      </c>
      <c r="C6" s="4" t="s">
        <v>44</v>
      </c>
      <c r="D6" s="6">
        <v>40000.0</v>
      </c>
      <c r="E6" s="6">
        <v>60000.0</v>
      </c>
      <c r="F6" s="8" t="str">
        <f t="shared" si="1"/>
        <v>High</v>
      </c>
      <c r="G6" s="8" t="str">
        <f t="shared" si="2"/>
        <v>No Bonus</v>
      </c>
    </row>
    <row r="7">
      <c r="B7" s="4" t="s">
        <v>56</v>
      </c>
      <c r="C7" s="4" t="s">
        <v>4</v>
      </c>
      <c r="D7" s="6">
        <v>32000.0</v>
      </c>
      <c r="E7" s="6">
        <v>90000.0</v>
      </c>
      <c r="F7" s="8" t="str">
        <f t="shared" si="1"/>
        <v>High</v>
      </c>
      <c r="G7" s="8" t="str">
        <f t="shared" si="2"/>
        <v>No Bonus</v>
      </c>
    </row>
    <row r="8">
      <c r="B8" s="4" t="s">
        <v>60</v>
      </c>
      <c r="C8" s="4" t="s">
        <v>34</v>
      </c>
      <c r="D8" s="6">
        <v>30000.0</v>
      </c>
      <c r="E8" s="6">
        <v>50000.0</v>
      </c>
      <c r="F8" s="8" t="str">
        <f t="shared" si="1"/>
        <v>High</v>
      </c>
      <c r="G8" s="8" t="str">
        <f t="shared" si="2"/>
        <v>No Bonus</v>
      </c>
    </row>
    <row r="9">
      <c r="B9" s="4" t="s">
        <v>66</v>
      </c>
      <c r="C9" s="4" t="s">
        <v>44</v>
      </c>
      <c r="D9" s="6">
        <v>45000.0</v>
      </c>
      <c r="E9" s="6">
        <v>75000.0</v>
      </c>
      <c r="F9" s="8" t="str">
        <f t="shared" si="1"/>
        <v>High</v>
      </c>
      <c r="G9" s="8" t="str">
        <f t="shared" si="2"/>
        <v>No Bonus</v>
      </c>
    </row>
    <row r="10">
      <c r="B10" s="4" t="s">
        <v>71</v>
      </c>
      <c r="C10" s="4" t="s">
        <v>4</v>
      </c>
      <c r="D10" s="6">
        <v>27000.0</v>
      </c>
      <c r="E10" s="6">
        <v>65000.0</v>
      </c>
      <c r="F10" s="8" t="str">
        <f t="shared" si="1"/>
        <v>Low</v>
      </c>
      <c r="G10" s="8" t="str">
        <f t="shared" si="2"/>
        <v>No Bonus</v>
      </c>
    </row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0.0"/>
    <col customWidth="1" min="3" max="3" width="8.56"/>
    <col customWidth="1" min="4" max="4" width="11.0"/>
    <col customWidth="1" min="5" max="5" width="11.11"/>
    <col customWidth="1" min="6" max="6" width="8.78"/>
    <col customWidth="1" min="7" max="9" width="8.56"/>
    <col customWidth="1" min="10" max="10" width="10.56"/>
    <col customWidth="1" min="11" max="11" width="11.78"/>
    <col customWidth="1" min="12" max="12" width="8.56"/>
    <col customWidth="1" min="13" max="13" width="13.11"/>
    <col customWidth="1" min="14" max="15" width="8.56"/>
    <col customWidth="1" min="16" max="16" width="10.44"/>
    <col customWidth="1" min="17" max="17" width="19.56"/>
    <col customWidth="1" min="18" max="26" width="8.56"/>
  </cols>
  <sheetData>
    <row r="1"/>
    <row r="2">
      <c r="B2" s="2" t="s">
        <v>1</v>
      </c>
      <c r="C2" s="2" t="s">
        <v>6</v>
      </c>
      <c r="D2" s="2" t="s">
        <v>2</v>
      </c>
      <c r="E2" s="2" t="s">
        <v>10</v>
      </c>
      <c r="F2" s="2" t="s">
        <v>3</v>
      </c>
      <c r="G2" s="2" t="s">
        <v>11</v>
      </c>
      <c r="J2" s="7" t="s">
        <v>12</v>
      </c>
      <c r="K2" s="7" t="s">
        <v>13</v>
      </c>
      <c r="L2" s="7" t="s">
        <v>14</v>
      </c>
      <c r="M2" s="7" t="s">
        <v>15</v>
      </c>
      <c r="N2" s="7" t="s">
        <v>17</v>
      </c>
    </row>
    <row r="3">
      <c r="B3" s="9" t="s">
        <v>18</v>
      </c>
      <c r="C3" s="9" t="s">
        <v>8</v>
      </c>
      <c r="D3" s="9" t="s">
        <v>4</v>
      </c>
      <c r="E3" s="9" t="s">
        <v>21</v>
      </c>
      <c r="F3" s="9">
        <v>30000.0</v>
      </c>
      <c r="G3" s="9" t="s">
        <v>22</v>
      </c>
      <c r="J3" s="10" t="s">
        <v>24</v>
      </c>
      <c r="K3" s="10" t="s">
        <v>26</v>
      </c>
      <c r="L3" s="10" t="s">
        <v>27</v>
      </c>
      <c r="M3" s="10" t="s">
        <v>28</v>
      </c>
      <c r="N3" s="10">
        <v>50.0</v>
      </c>
      <c r="P3" s="11" t="s">
        <v>30</v>
      </c>
      <c r="Q3" s="11" t="s">
        <v>31</v>
      </c>
    </row>
    <row r="4">
      <c r="B4" s="9" t="s">
        <v>32</v>
      </c>
      <c r="C4" s="9" t="s">
        <v>33</v>
      </c>
      <c r="D4" s="9" t="s">
        <v>34</v>
      </c>
      <c r="E4" s="9" t="s">
        <v>35</v>
      </c>
      <c r="F4" s="9">
        <v>35000.0</v>
      </c>
      <c r="G4" s="9" t="s">
        <v>36</v>
      </c>
      <c r="J4" s="10" t="s">
        <v>37</v>
      </c>
      <c r="K4" s="10" t="s">
        <v>38</v>
      </c>
      <c r="L4" s="10" t="s">
        <v>39</v>
      </c>
      <c r="M4" s="10" t="s">
        <v>40</v>
      </c>
      <c r="N4" s="10">
        <v>120.0</v>
      </c>
      <c r="P4" s="11" t="s">
        <v>41</v>
      </c>
      <c r="Q4" s="11" t="str">
        <f>VLOOKUP(P4,J3:M12,4,0)</f>
        <v>30/11/2026</v>
      </c>
    </row>
    <row r="5">
      <c r="B5" s="9" t="s">
        <v>42</v>
      </c>
      <c r="C5" s="9" t="s">
        <v>43</v>
      </c>
      <c r="D5" s="9" t="s">
        <v>44</v>
      </c>
      <c r="E5" s="9" t="s">
        <v>21</v>
      </c>
      <c r="F5" s="9">
        <v>40000.0</v>
      </c>
      <c r="G5" s="9" t="s">
        <v>22</v>
      </c>
      <c r="J5" s="10" t="s">
        <v>45</v>
      </c>
      <c r="K5" s="10" t="s">
        <v>46</v>
      </c>
      <c r="L5" s="10" t="s">
        <v>47</v>
      </c>
      <c r="M5" s="12">
        <v>46153.0</v>
      </c>
      <c r="N5" s="10">
        <v>80.0</v>
      </c>
    </row>
    <row r="6">
      <c r="B6" s="9" t="s">
        <v>48</v>
      </c>
      <c r="C6" s="9" t="s">
        <v>49</v>
      </c>
      <c r="D6" s="9" t="s">
        <v>4</v>
      </c>
      <c r="E6" s="9" t="s">
        <v>50</v>
      </c>
      <c r="F6" s="9">
        <v>28000.0</v>
      </c>
      <c r="G6" s="9" t="s">
        <v>51</v>
      </c>
      <c r="J6" s="10" t="s">
        <v>52</v>
      </c>
      <c r="K6" s="10" t="s">
        <v>53</v>
      </c>
      <c r="L6" s="10" t="s">
        <v>39</v>
      </c>
      <c r="M6" s="10" t="s">
        <v>54</v>
      </c>
      <c r="N6" s="10">
        <v>65.0</v>
      </c>
    </row>
    <row r="7">
      <c r="B7" s="9" t="s">
        <v>55</v>
      </c>
      <c r="C7" s="9" t="s">
        <v>56</v>
      </c>
      <c r="D7" s="9" t="s">
        <v>34</v>
      </c>
      <c r="E7" s="9" t="s">
        <v>21</v>
      </c>
      <c r="F7" s="9">
        <v>32000.0</v>
      </c>
      <c r="G7" s="9" t="s">
        <v>36</v>
      </c>
      <c r="J7" s="10" t="s">
        <v>57</v>
      </c>
      <c r="K7" s="10" t="s">
        <v>58</v>
      </c>
      <c r="L7" s="10" t="s">
        <v>27</v>
      </c>
      <c r="M7" s="12">
        <v>46304.0</v>
      </c>
      <c r="N7" s="10">
        <v>40.0</v>
      </c>
    </row>
    <row r="8">
      <c r="B8" s="9" t="s">
        <v>59</v>
      </c>
      <c r="C8" s="9" t="s">
        <v>60</v>
      </c>
      <c r="D8" s="9" t="s">
        <v>44</v>
      </c>
      <c r="E8" s="9" t="s">
        <v>35</v>
      </c>
      <c r="F8" s="9">
        <v>45000.0</v>
      </c>
      <c r="G8" s="9" t="s">
        <v>22</v>
      </c>
      <c r="J8" s="10" t="s">
        <v>61</v>
      </c>
      <c r="K8" s="10" t="s">
        <v>62</v>
      </c>
      <c r="L8" s="10" t="s">
        <v>63</v>
      </c>
      <c r="M8" s="10" t="s">
        <v>64</v>
      </c>
      <c r="N8" s="10">
        <v>75.0</v>
      </c>
    </row>
    <row r="9">
      <c r="B9" s="9" t="s">
        <v>65</v>
      </c>
      <c r="C9" s="9" t="s">
        <v>66</v>
      </c>
      <c r="D9" s="9" t="s">
        <v>4</v>
      </c>
      <c r="E9" s="9" t="s">
        <v>21</v>
      </c>
      <c r="F9" s="9">
        <v>33000.0</v>
      </c>
      <c r="G9" s="9" t="s">
        <v>36</v>
      </c>
      <c r="J9" s="10" t="s">
        <v>67</v>
      </c>
      <c r="K9" s="10" t="s">
        <v>68</v>
      </c>
      <c r="L9" s="10" t="s">
        <v>39</v>
      </c>
      <c r="M9" s="10" t="s">
        <v>69</v>
      </c>
      <c r="N9" s="10">
        <v>150.0</v>
      </c>
    </row>
    <row r="10">
      <c r="B10" s="9" t="s">
        <v>70</v>
      </c>
      <c r="C10" s="9" t="s">
        <v>71</v>
      </c>
      <c r="D10" s="9" t="s">
        <v>44</v>
      </c>
      <c r="E10" s="9" t="s">
        <v>50</v>
      </c>
      <c r="F10" s="9">
        <v>38000.0</v>
      </c>
      <c r="G10" s="9" t="s">
        <v>51</v>
      </c>
      <c r="J10" s="10" t="s">
        <v>41</v>
      </c>
      <c r="K10" s="10" t="s">
        <v>72</v>
      </c>
      <c r="L10" s="10" t="s">
        <v>47</v>
      </c>
      <c r="M10" s="10" t="s">
        <v>73</v>
      </c>
      <c r="N10" s="10">
        <v>90.0</v>
      </c>
    </row>
    <row r="11">
      <c r="B11" s="9" t="s">
        <v>74</v>
      </c>
      <c r="C11" s="9" t="s">
        <v>75</v>
      </c>
      <c r="D11" s="9" t="s">
        <v>34</v>
      </c>
      <c r="E11" s="9" t="s">
        <v>21</v>
      </c>
      <c r="F11" s="9">
        <v>31000.0</v>
      </c>
      <c r="G11" s="9" t="s">
        <v>36</v>
      </c>
      <c r="J11" s="10" t="s">
        <v>76</v>
      </c>
      <c r="K11" s="10" t="s">
        <v>77</v>
      </c>
      <c r="L11" s="10" t="s">
        <v>27</v>
      </c>
      <c r="M11" s="12">
        <v>46244.0</v>
      </c>
      <c r="N11" s="10">
        <v>35.0</v>
      </c>
    </row>
    <row r="12">
      <c r="B12" s="9" t="s">
        <v>78</v>
      </c>
      <c r="C12" s="9" t="s">
        <v>79</v>
      </c>
      <c r="D12" s="9" t="s">
        <v>4</v>
      </c>
      <c r="E12" s="9" t="s">
        <v>35</v>
      </c>
      <c r="F12" s="9">
        <v>29000.0</v>
      </c>
      <c r="G12" s="9" t="s">
        <v>51</v>
      </c>
      <c r="J12" s="10" t="s">
        <v>80</v>
      </c>
      <c r="K12" s="10" t="s">
        <v>81</v>
      </c>
      <c r="L12" s="10" t="s">
        <v>39</v>
      </c>
      <c r="M12" s="10" t="s">
        <v>82</v>
      </c>
      <c r="N12" s="10">
        <v>100.0</v>
      </c>
    </row>
    <row r="13"/>
    <row r="14">
      <c r="I14" s="11" t="s">
        <v>83</v>
      </c>
      <c r="J14" s="11" t="s">
        <v>3</v>
      </c>
      <c r="K14" s="11" t="s">
        <v>6</v>
      </c>
    </row>
    <row r="15">
      <c r="I15" s="11" t="s">
        <v>48</v>
      </c>
      <c r="J15" s="11">
        <f>IFERROR(VLOOKUP(I15,B3:F12,5,FALSE),"Not Found")</f>
        <v>28000</v>
      </c>
      <c r="K15" s="11" t="str">
        <f>VLOOKUP(I15,B3:D12,2,0)</f>
        <v>Rakib</v>
      </c>
    </row>
    <row r="16"/>
    <row r="17"/>
    <row r="18"/>
    <row r="19">
      <c r="C19" s="8" t="s">
        <v>18</v>
      </c>
      <c r="D19" s="8" t="str">
        <f t="shared" ref="D19:D28" si="1">VLOOKUP(C19,$B$3:$E$12,4,0)</f>
        <v>Dhaka</v>
      </c>
      <c r="E19" s="8" t="str">
        <f t="shared" ref="E19:E28" si="2">VLOOKUP(C19,$B$3:$C$12,2,0)</f>
        <v>Rahim</v>
      </c>
      <c r="F19" s="8">
        <f t="shared" ref="F19:F28" si="3">VLOOKUP(C19,$B$3:$F$12,5,0)</f>
        <v>30000</v>
      </c>
    </row>
    <row r="20">
      <c r="C20" s="8" t="s">
        <v>32</v>
      </c>
      <c r="D20" s="8" t="str">
        <f t="shared" si="1"/>
        <v>Chittagong</v>
      </c>
      <c r="E20" s="8" t="str">
        <f t="shared" si="2"/>
        <v>Karim</v>
      </c>
      <c r="F20" s="8">
        <f t="shared" si="3"/>
        <v>35000</v>
      </c>
    </row>
    <row r="21">
      <c r="C21" s="8" t="s">
        <v>42</v>
      </c>
      <c r="D21" s="8" t="str">
        <f t="shared" si="1"/>
        <v>Dhaka</v>
      </c>
      <c r="E21" s="8" t="str">
        <f t="shared" si="2"/>
        <v>Siam</v>
      </c>
      <c r="F21" s="8">
        <f t="shared" si="3"/>
        <v>40000</v>
      </c>
    </row>
    <row r="22">
      <c r="C22" s="8" t="s">
        <v>48</v>
      </c>
      <c r="D22" s="8" t="str">
        <f t="shared" si="1"/>
        <v>Sylhet</v>
      </c>
      <c r="E22" s="8" t="str">
        <f t="shared" si="2"/>
        <v>Rakib</v>
      </c>
      <c r="F22" s="8">
        <f t="shared" si="3"/>
        <v>28000</v>
      </c>
    </row>
    <row r="23">
      <c r="C23" s="8" t="s">
        <v>55</v>
      </c>
      <c r="D23" s="8" t="str">
        <f t="shared" si="1"/>
        <v>Dhaka</v>
      </c>
      <c r="E23" s="8" t="str">
        <f t="shared" si="2"/>
        <v>Hasan</v>
      </c>
      <c r="F23" s="8">
        <f t="shared" si="3"/>
        <v>32000</v>
      </c>
    </row>
    <row r="24">
      <c r="C24" s="8" t="s">
        <v>59</v>
      </c>
      <c r="D24" s="8" t="str">
        <f t="shared" si="1"/>
        <v>Chittagong</v>
      </c>
      <c r="E24" s="8" t="str">
        <f t="shared" si="2"/>
        <v>Nayeem</v>
      </c>
      <c r="F24" s="8">
        <f t="shared" si="3"/>
        <v>45000</v>
      </c>
    </row>
    <row r="25">
      <c r="C25" s="8" t="s">
        <v>65</v>
      </c>
      <c r="D25" s="8" t="str">
        <f t="shared" si="1"/>
        <v>Dhaka</v>
      </c>
      <c r="E25" s="8" t="str">
        <f t="shared" si="2"/>
        <v>Fahim</v>
      </c>
      <c r="F25" s="8">
        <f t="shared" si="3"/>
        <v>33000</v>
      </c>
    </row>
    <row r="26">
      <c r="C26" s="8" t="s">
        <v>70</v>
      </c>
      <c r="D26" s="8" t="str">
        <f t="shared" si="1"/>
        <v>Sylhet</v>
      </c>
      <c r="E26" s="8" t="str">
        <f t="shared" si="2"/>
        <v>Jamil</v>
      </c>
      <c r="F26" s="8">
        <f t="shared" si="3"/>
        <v>38000</v>
      </c>
    </row>
    <row r="27">
      <c r="C27" s="8" t="s">
        <v>74</v>
      </c>
      <c r="D27" s="8" t="str">
        <f t="shared" si="1"/>
        <v>Dhaka</v>
      </c>
      <c r="E27" s="8" t="str">
        <f t="shared" si="2"/>
        <v>Arif</v>
      </c>
      <c r="F27" s="8">
        <f t="shared" si="3"/>
        <v>31000</v>
      </c>
    </row>
    <row r="28">
      <c r="C28" s="8" t="s">
        <v>78</v>
      </c>
      <c r="D28" s="8" t="str">
        <f t="shared" si="1"/>
        <v>Chittagong</v>
      </c>
      <c r="E28" s="8" t="str">
        <f t="shared" si="2"/>
        <v>Sakib</v>
      </c>
      <c r="F28" s="8">
        <f t="shared" si="3"/>
        <v>29000</v>
      </c>
    </row>
  </sheetData>
  <dataValidations>
    <dataValidation type="list" allowBlank="1" showErrorMessage="1" sqref="P4">
      <formula1>$J$3:$J$12</formula1>
    </dataValidation>
    <dataValidation type="list" allowBlank="1" showErrorMessage="1" sqref="I15">
      <formula1>$B$3:$B$12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44"/>
    <col customWidth="1" min="2" max="2" width="16.11"/>
    <col customWidth="1" min="3" max="3" width="13.56"/>
    <col customWidth="1" min="4" max="26" width="8.56"/>
  </cols>
  <sheetData>
    <row r="1">
      <c r="A1" s="13" t="s">
        <v>84</v>
      </c>
      <c r="B1" s="14" t="s">
        <v>85</v>
      </c>
      <c r="C1" s="14" t="s">
        <v>86</v>
      </c>
    </row>
    <row r="2">
      <c r="A2" s="15" t="s">
        <v>87</v>
      </c>
      <c r="B2" s="15">
        <v>66.0</v>
      </c>
      <c r="C2" s="16">
        <v>1440156.625</v>
      </c>
    </row>
    <row r="3">
      <c r="A3" s="15" t="s">
        <v>88</v>
      </c>
      <c r="B3" s="15">
        <v>84.0</v>
      </c>
      <c r="C3" s="16">
        <v>1629080.75</v>
      </c>
    </row>
    <row r="4">
      <c r="A4" s="15" t="s">
        <v>89</v>
      </c>
      <c r="B4" s="15">
        <v>68.0</v>
      </c>
      <c r="C4" s="16">
        <v>1542411.25</v>
      </c>
    </row>
    <row r="5">
      <c r="A5" s="15" t="s">
        <v>90</v>
      </c>
      <c r="B5" s="15">
        <v>56.0</v>
      </c>
      <c r="C5" s="16">
        <v>1313840.375</v>
      </c>
    </row>
    <row r="6">
      <c r="A6" s="15" t="s">
        <v>91</v>
      </c>
      <c r="B6" s="15">
        <v>68.0</v>
      </c>
      <c r="C6" s="16">
        <v>1223413.25</v>
      </c>
    </row>
    <row r="7">
      <c r="A7" s="15" t="s">
        <v>92</v>
      </c>
      <c r="B7" s="15">
        <v>82.0</v>
      </c>
      <c r="C7" s="16">
        <v>1664143.75</v>
      </c>
    </row>
    <row r="8">
      <c r="A8" s="15" t="s">
        <v>93</v>
      </c>
      <c r="B8" s="15">
        <v>73.0</v>
      </c>
      <c r="C8" s="16">
        <v>1260530.75</v>
      </c>
    </row>
    <row r="9">
      <c r="A9" s="15" t="s">
        <v>94</v>
      </c>
      <c r="B9" s="15">
        <v>68.0</v>
      </c>
      <c r="C9" s="16">
        <v>1355407.5</v>
      </c>
    </row>
    <row r="10">
      <c r="A10" s="15" t="s">
        <v>95</v>
      </c>
      <c r="B10" s="15">
        <v>65.0</v>
      </c>
      <c r="C10" s="16">
        <v>1256991.625</v>
      </c>
    </row>
    <row r="11">
      <c r="A11" s="15" t="s">
        <v>96</v>
      </c>
      <c r="B11" s="15">
        <v>70.0</v>
      </c>
      <c r="C11" s="16">
        <v>1313091.75</v>
      </c>
    </row>
    <row r="12">
      <c r="A12" s="15" t="s">
        <v>97</v>
      </c>
      <c r="B12" s="15">
        <v>700.0</v>
      </c>
      <c r="C12" s="16">
        <v>1.3999067625E7</v>
      </c>
    </row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/>
    <row r="2">
      <c r="B2" s="5" t="s">
        <v>9</v>
      </c>
    </row>
    <row r="3"/>
    <row r="4">
      <c r="B4" s="8" t="s">
        <v>6</v>
      </c>
      <c r="C4" s="8" t="s">
        <v>16</v>
      </c>
    </row>
    <row r="5">
      <c r="B5" s="8" t="s">
        <v>19</v>
      </c>
      <c r="C5" s="8">
        <v>85.0</v>
      </c>
    </row>
    <row r="6">
      <c r="B6" s="8" t="s">
        <v>20</v>
      </c>
      <c r="C6" s="8">
        <v>90.0</v>
      </c>
    </row>
    <row r="7">
      <c r="B7" s="8" t="s">
        <v>23</v>
      </c>
      <c r="C7" s="8">
        <v>50.0</v>
      </c>
    </row>
    <row r="8">
      <c r="B8" s="8" t="s">
        <v>25</v>
      </c>
      <c r="C8" s="8">
        <v>275.0</v>
      </c>
    </row>
    <row r="9">
      <c r="B9" s="8" t="s">
        <v>29</v>
      </c>
      <c r="C9" s="8">
        <f>SUM(C5:C8)</f>
        <v>500</v>
      </c>
    </row>
    <row r="10"/>
    <row r="11"/>
    <row r="12"/>
    <row r="13"/>
    <row r="14"/>
    <row r="15"/>
    <row r="16"/>
    <row r="17"/>
    <row r="18"/>
    <row r="19"/>
    <row r="20"/>
  </sheetData>
  <mergeCells count="1">
    <mergeCell ref="B2:C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89"/>
    <col customWidth="1" min="2" max="2" width="14.33"/>
    <col customWidth="1" min="3" max="3" width="16.0"/>
    <col customWidth="1" min="4" max="4" width="9.67"/>
    <col customWidth="1" min="5" max="5" width="25.33"/>
    <col customWidth="1" min="6" max="6" width="18.33"/>
    <col customWidth="1" min="7" max="7" width="64.33"/>
    <col customWidth="1" min="8" max="8" width="26.44"/>
    <col customWidth="1" min="9" max="9" width="14.67"/>
    <col customWidth="1" min="10" max="10" width="15.0"/>
    <col customWidth="1" min="11" max="26" width="8.56"/>
  </cols>
  <sheetData>
    <row r="1"/>
    <row r="2">
      <c r="A2" s="17" t="s">
        <v>98</v>
      </c>
      <c r="B2" s="18" t="s">
        <v>99</v>
      </c>
      <c r="C2" s="18" t="s">
        <v>100</v>
      </c>
      <c r="D2" s="18" t="s">
        <v>10</v>
      </c>
      <c r="E2" s="18" t="s">
        <v>101</v>
      </c>
      <c r="F2" s="18" t="s">
        <v>102</v>
      </c>
      <c r="G2" s="18" t="s">
        <v>13</v>
      </c>
      <c r="H2" s="18" t="s">
        <v>103</v>
      </c>
      <c r="I2" s="18" t="s">
        <v>104</v>
      </c>
      <c r="J2" s="19" t="s">
        <v>105</v>
      </c>
    </row>
    <row r="3">
      <c r="A3" s="20">
        <f t="shared" ref="A3:A143" si="1">SUBTOTAL(3,$B$2:B2)</f>
        <v>1</v>
      </c>
      <c r="B3" s="21" t="s">
        <v>106</v>
      </c>
      <c r="C3" s="22">
        <v>42767.0</v>
      </c>
      <c r="D3" s="21" t="s">
        <v>21</v>
      </c>
      <c r="E3" s="21" t="s">
        <v>107</v>
      </c>
      <c r="F3" s="21" t="s">
        <v>108</v>
      </c>
      <c r="G3" s="21" t="s">
        <v>109</v>
      </c>
      <c r="H3" s="21" t="s">
        <v>110</v>
      </c>
      <c r="I3" s="22">
        <v>42771.0</v>
      </c>
      <c r="J3" s="23">
        <v>32.02</v>
      </c>
    </row>
    <row r="4">
      <c r="A4" s="20">
        <f t="shared" si="1"/>
        <v>2</v>
      </c>
      <c r="B4" s="21" t="s">
        <v>111</v>
      </c>
      <c r="C4" s="22">
        <v>42765.0</v>
      </c>
      <c r="D4" s="21" t="s">
        <v>21</v>
      </c>
      <c r="E4" s="21" t="s">
        <v>112</v>
      </c>
      <c r="F4" s="21" t="s">
        <v>113</v>
      </c>
      <c r="G4" s="21" t="s">
        <v>114</v>
      </c>
      <c r="H4" s="21" t="s">
        <v>115</v>
      </c>
      <c r="I4" s="22">
        <v>42768.0</v>
      </c>
      <c r="J4" s="23">
        <v>1.18</v>
      </c>
    </row>
    <row r="5">
      <c r="A5" s="20">
        <f t="shared" si="1"/>
        <v>3</v>
      </c>
      <c r="B5" s="21" t="s">
        <v>116</v>
      </c>
      <c r="C5" s="22">
        <v>42752.0</v>
      </c>
      <c r="D5" s="21" t="s">
        <v>21</v>
      </c>
      <c r="E5" s="21" t="s">
        <v>117</v>
      </c>
      <c r="F5" s="21" t="s">
        <v>118</v>
      </c>
      <c r="G5" s="21" t="s">
        <v>119</v>
      </c>
      <c r="H5" s="21" t="s">
        <v>110</v>
      </c>
      <c r="I5" s="22">
        <v>42753.0</v>
      </c>
      <c r="J5" s="23">
        <v>3.4</v>
      </c>
    </row>
    <row r="6">
      <c r="A6" s="20">
        <f t="shared" si="1"/>
        <v>4</v>
      </c>
      <c r="B6" s="21" t="s">
        <v>120</v>
      </c>
      <c r="C6" s="22">
        <v>42746.0</v>
      </c>
      <c r="D6" s="21" t="s">
        <v>21</v>
      </c>
      <c r="E6" s="21" t="s">
        <v>121</v>
      </c>
      <c r="F6" s="21" t="s">
        <v>118</v>
      </c>
      <c r="G6" s="21" t="s">
        <v>122</v>
      </c>
      <c r="H6" s="21" t="s">
        <v>110</v>
      </c>
      <c r="I6" s="22">
        <v>42748.0</v>
      </c>
      <c r="J6" s="23">
        <v>2.76</v>
      </c>
    </row>
    <row r="7">
      <c r="A7" s="20">
        <f t="shared" si="1"/>
        <v>5</v>
      </c>
      <c r="B7" s="21" t="s">
        <v>123</v>
      </c>
      <c r="C7" s="22">
        <v>42739.0</v>
      </c>
      <c r="D7" s="21" t="s">
        <v>21</v>
      </c>
      <c r="E7" s="21" t="s">
        <v>112</v>
      </c>
      <c r="F7" s="21" t="s">
        <v>113</v>
      </c>
      <c r="G7" s="21" t="s">
        <v>124</v>
      </c>
      <c r="H7" s="21" t="s">
        <v>110</v>
      </c>
      <c r="I7" s="22">
        <v>42740.0</v>
      </c>
      <c r="J7" s="23">
        <v>13.64</v>
      </c>
    </row>
    <row r="8">
      <c r="A8" s="20">
        <f t="shared" si="1"/>
        <v>6</v>
      </c>
      <c r="B8" s="21" t="s">
        <v>125</v>
      </c>
      <c r="C8" s="22">
        <v>42725.0</v>
      </c>
      <c r="D8" s="21" t="s">
        <v>21</v>
      </c>
      <c r="E8" s="21" t="s">
        <v>126</v>
      </c>
      <c r="F8" s="21" t="s">
        <v>118</v>
      </c>
      <c r="G8" s="21" t="s">
        <v>127</v>
      </c>
      <c r="H8" s="21" t="s">
        <v>110</v>
      </c>
      <c r="I8" s="22">
        <v>42726.0</v>
      </c>
      <c r="J8" s="23">
        <v>156.5</v>
      </c>
    </row>
    <row r="9">
      <c r="A9" s="20">
        <f t="shared" si="1"/>
        <v>7</v>
      </c>
      <c r="B9" s="21" t="s">
        <v>128</v>
      </c>
      <c r="C9" s="22">
        <v>42723.0</v>
      </c>
      <c r="D9" s="21" t="s">
        <v>21</v>
      </c>
      <c r="E9" s="21" t="s">
        <v>112</v>
      </c>
      <c r="F9" s="21" t="s">
        <v>118</v>
      </c>
      <c r="G9" s="21" t="s">
        <v>129</v>
      </c>
      <c r="H9" s="21" t="s">
        <v>115</v>
      </c>
      <c r="I9" s="22">
        <v>42725.0</v>
      </c>
      <c r="J9" s="23">
        <v>1.46</v>
      </c>
    </row>
    <row r="10">
      <c r="A10" s="20">
        <f t="shared" si="1"/>
        <v>8</v>
      </c>
      <c r="B10" s="21" t="s">
        <v>130</v>
      </c>
      <c r="C10" s="22">
        <v>42722.0</v>
      </c>
      <c r="D10" s="21" t="s">
        <v>21</v>
      </c>
      <c r="E10" s="21" t="s">
        <v>126</v>
      </c>
      <c r="F10" s="21" t="s">
        <v>118</v>
      </c>
      <c r="G10" s="21" t="s">
        <v>131</v>
      </c>
      <c r="H10" s="21" t="s">
        <v>110</v>
      </c>
      <c r="I10" s="22">
        <v>42723.0</v>
      </c>
      <c r="J10" s="23">
        <v>3.5</v>
      </c>
    </row>
    <row r="11">
      <c r="A11" s="20">
        <f t="shared" si="1"/>
        <v>9</v>
      </c>
      <c r="B11" s="21" t="s">
        <v>132</v>
      </c>
      <c r="C11" s="22">
        <v>42712.0</v>
      </c>
      <c r="D11" s="21" t="s">
        <v>21</v>
      </c>
      <c r="E11" s="21" t="s">
        <v>133</v>
      </c>
      <c r="F11" s="21" t="s">
        <v>108</v>
      </c>
      <c r="G11" s="21" t="s">
        <v>119</v>
      </c>
      <c r="H11" s="21" t="s">
        <v>110</v>
      </c>
      <c r="I11" s="22">
        <v>42719.0</v>
      </c>
      <c r="J11" s="23">
        <v>3.42</v>
      </c>
    </row>
    <row r="12">
      <c r="A12" s="20">
        <f t="shared" si="1"/>
        <v>10</v>
      </c>
      <c r="B12" s="21" t="s">
        <v>134</v>
      </c>
      <c r="C12" s="22">
        <v>42712.0</v>
      </c>
      <c r="D12" s="21" t="s">
        <v>21</v>
      </c>
      <c r="E12" s="21" t="s">
        <v>135</v>
      </c>
      <c r="F12" s="21" t="s">
        <v>108</v>
      </c>
      <c r="G12" s="21" t="s">
        <v>136</v>
      </c>
      <c r="H12" s="21" t="s">
        <v>110</v>
      </c>
      <c r="I12" s="22">
        <v>42716.0</v>
      </c>
      <c r="J12" s="24">
        <v>1000.0</v>
      </c>
    </row>
    <row r="13">
      <c r="A13" s="20">
        <f t="shared" si="1"/>
        <v>11</v>
      </c>
      <c r="B13" s="21" t="s">
        <v>137</v>
      </c>
      <c r="C13" s="22">
        <v>42714.0</v>
      </c>
      <c r="D13" s="21" t="s">
        <v>21</v>
      </c>
      <c r="E13" s="21" t="s">
        <v>126</v>
      </c>
      <c r="F13" s="21" t="s">
        <v>118</v>
      </c>
      <c r="G13" s="21" t="s">
        <v>138</v>
      </c>
      <c r="H13" s="21" t="s">
        <v>110</v>
      </c>
      <c r="I13" s="22">
        <v>42716.0</v>
      </c>
      <c r="J13" s="25"/>
    </row>
    <row r="14">
      <c r="A14" s="20">
        <f t="shared" si="1"/>
        <v>12</v>
      </c>
      <c r="B14" s="21" t="s">
        <v>139</v>
      </c>
      <c r="C14" s="22">
        <v>42697.0</v>
      </c>
      <c r="D14" s="21" t="s">
        <v>21</v>
      </c>
      <c r="E14" s="21" t="s">
        <v>126</v>
      </c>
      <c r="F14" s="21" t="s">
        <v>118</v>
      </c>
      <c r="G14" s="21" t="s">
        <v>140</v>
      </c>
      <c r="H14" s="21" t="s">
        <v>110</v>
      </c>
      <c r="I14" s="22">
        <v>42699.0</v>
      </c>
      <c r="J14" s="23">
        <v>3.99</v>
      </c>
    </row>
    <row r="15">
      <c r="A15" s="20">
        <f t="shared" si="1"/>
        <v>13</v>
      </c>
      <c r="B15" s="21" t="s">
        <v>141</v>
      </c>
      <c r="C15" s="22">
        <v>42691.0</v>
      </c>
      <c r="D15" s="21" t="s">
        <v>21</v>
      </c>
      <c r="E15" s="21" t="s">
        <v>142</v>
      </c>
      <c r="F15" s="21" t="s">
        <v>143</v>
      </c>
      <c r="G15" s="21" t="s">
        <v>144</v>
      </c>
      <c r="H15" s="21" t="s">
        <v>110</v>
      </c>
      <c r="I15" s="22">
        <v>42693.0</v>
      </c>
      <c r="J15" s="23">
        <v>1.87</v>
      </c>
    </row>
    <row r="16">
      <c r="A16" s="20">
        <f t="shared" si="1"/>
        <v>14</v>
      </c>
      <c r="B16" s="21" t="s">
        <v>145</v>
      </c>
      <c r="C16" s="22">
        <v>42684.0</v>
      </c>
      <c r="D16" s="21" t="s">
        <v>21</v>
      </c>
      <c r="E16" s="21" t="s">
        <v>112</v>
      </c>
      <c r="F16" s="21" t="s">
        <v>113</v>
      </c>
      <c r="G16" s="21" t="s">
        <v>146</v>
      </c>
      <c r="H16" s="21" t="s">
        <v>115</v>
      </c>
      <c r="I16" s="22">
        <v>42686.0</v>
      </c>
      <c r="J16" s="23">
        <v>1.6</v>
      </c>
    </row>
    <row r="17">
      <c r="A17" s="20">
        <f t="shared" si="1"/>
        <v>15</v>
      </c>
      <c r="B17" s="21" t="s">
        <v>147</v>
      </c>
      <c r="C17" s="22">
        <v>42683.0</v>
      </c>
      <c r="D17" s="21" t="s">
        <v>21</v>
      </c>
      <c r="E17" s="21" t="s">
        <v>148</v>
      </c>
      <c r="F17" s="21" t="s">
        <v>149</v>
      </c>
      <c r="G17" s="21" t="s">
        <v>127</v>
      </c>
      <c r="H17" s="21" t="s">
        <v>110</v>
      </c>
      <c r="I17" s="22">
        <v>42685.0</v>
      </c>
      <c r="J17" s="23">
        <v>216.0</v>
      </c>
    </row>
    <row r="18">
      <c r="A18" s="20">
        <f t="shared" si="1"/>
        <v>16</v>
      </c>
      <c r="B18" s="21" t="s">
        <v>150</v>
      </c>
      <c r="C18" s="22">
        <v>42676.0</v>
      </c>
      <c r="D18" s="21" t="s">
        <v>21</v>
      </c>
      <c r="E18" s="21" t="s">
        <v>112</v>
      </c>
      <c r="F18" s="21" t="s">
        <v>108</v>
      </c>
      <c r="G18" s="21" t="s">
        <v>151</v>
      </c>
      <c r="H18" s="21" t="s">
        <v>110</v>
      </c>
      <c r="I18" s="22">
        <v>42680.0</v>
      </c>
      <c r="J18" s="23">
        <v>52.04</v>
      </c>
    </row>
    <row r="19">
      <c r="A19" s="20">
        <f t="shared" si="1"/>
        <v>17</v>
      </c>
      <c r="B19" s="21" t="s">
        <v>152</v>
      </c>
      <c r="C19" s="22">
        <v>42666.0</v>
      </c>
      <c r="D19" s="21" t="s">
        <v>21</v>
      </c>
      <c r="E19" s="21" t="s">
        <v>142</v>
      </c>
      <c r="F19" s="21" t="s">
        <v>143</v>
      </c>
      <c r="G19" s="21" t="s">
        <v>153</v>
      </c>
      <c r="H19" s="21" t="s">
        <v>110</v>
      </c>
      <c r="I19" s="22">
        <v>42668.0</v>
      </c>
      <c r="J19" s="23">
        <v>14.7</v>
      </c>
    </row>
    <row r="20">
      <c r="A20" s="20">
        <f t="shared" si="1"/>
        <v>18</v>
      </c>
      <c r="B20" s="21" t="s">
        <v>154</v>
      </c>
      <c r="C20" s="22">
        <v>42665.0</v>
      </c>
      <c r="D20" s="21" t="s">
        <v>21</v>
      </c>
      <c r="E20" s="21" t="s">
        <v>142</v>
      </c>
      <c r="F20" s="21" t="s">
        <v>113</v>
      </c>
      <c r="G20" s="21" t="s">
        <v>155</v>
      </c>
      <c r="H20" s="21" t="s">
        <v>110</v>
      </c>
      <c r="I20" s="22">
        <v>42667.0</v>
      </c>
      <c r="J20" s="23">
        <v>21.56</v>
      </c>
    </row>
    <row r="21">
      <c r="A21" s="20">
        <f t="shared" si="1"/>
        <v>19</v>
      </c>
      <c r="B21" s="21" t="s">
        <v>156</v>
      </c>
      <c r="C21" s="22">
        <v>42662.0</v>
      </c>
      <c r="D21" s="21" t="s">
        <v>21</v>
      </c>
      <c r="E21" s="21" t="s">
        <v>126</v>
      </c>
      <c r="F21" s="21" t="s">
        <v>118</v>
      </c>
      <c r="G21" s="21" t="s">
        <v>122</v>
      </c>
      <c r="H21" s="21" t="s">
        <v>110</v>
      </c>
      <c r="I21" s="22">
        <v>42664.0</v>
      </c>
      <c r="J21" s="23">
        <v>3.32</v>
      </c>
    </row>
    <row r="22">
      <c r="A22" s="20">
        <f t="shared" si="1"/>
        <v>20</v>
      </c>
      <c r="B22" s="21" t="s">
        <v>157</v>
      </c>
      <c r="C22" s="22">
        <v>42644.0</v>
      </c>
      <c r="D22" s="21" t="s">
        <v>21</v>
      </c>
      <c r="E22" s="21" t="s">
        <v>112</v>
      </c>
      <c r="F22" s="21" t="s">
        <v>143</v>
      </c>
      <c r="G22" s="21" t="s">
        <v>158</v>
      </c>
      <c r="H22" s="21" t="s">
        <v>110</v>
      </c>
      <c r="I22" s="22">
        <v>42645.0</v>
      </c>
      <c r="J22" s="23">
        <v>1.6</v>
      </c>
    </row>
    <row r="23">
      <c r="A23" s="20">
        <f t="shared" si="1"/>
        <v>21</v>
      </c>
      <c r="B23" s="21" t="s">
        <v>159</v>
      </c>
      <c r="C23" s="22">
        <v>42644.0</v>
      </c>
      <c r="D23" s="21" t="s">
        <v>21</v>
      </c>
      <c r="E23" s="21" t="s">
        <v>112</v>
      </c>
      <c r="F23" s="21" t="s">
        <v>143</v>
      </c>
      <c r="G23" s="21" t="s">
        <v>151</v>
      </c>
      <c r="H23" s="21" t="s">
        <v>110</v>
      </c>
      <c r="I23" s="22">
        <v>42645.0</v>
      </c>
      <c r="J23" s="23">
        <v>54.52</v>
      </c>
    </row>
    <row r="24">
      <c r="A24" s="20">
        <f t="shared" si="1"/>
        <v>22</v>
      </c>
      <c r="B24" s="21" t="s">
        <v>160</v>
      </c>
      <c r="C24" s="22">
        <v>42638.0</v>
      </c>
      <c r="D24" s="21" t="s">
        <v>21</v>
      </c>
      <c r="E24" s="21" t="s">
        <v>126</v>
      </c>
      <c r="F24" s="21" t="s">
        <v>118</v>
      </c>
      <c r="G24" s="21" t="s">
        <v>161</v>
      </c>
      <c r="H24" s="21" t="s">
        <v>110</v>
      </c>
      <c r="I24" s="22">
        <v>42639.0</v>
      </c>
      <c r="J24" s="23">
        <v>3.5</v>
      </c>
    </row>
    <row r="25">
      <c r="A25" s="20">
        <f t="shared" si="1"/>
        <v>23</v>
      </c>
      <c r="B25" s="21" t="s">
        <v>162</v>
      </c>
      <c r="C25" s="22">
        <v>42631.0</v>
      </c>
      <c r="D25" s="21" t="s">
        <v>21</v>
      </c>
      <c r="E25" s="21" t="s">
        <v>142</v>
      </c>
      <c r="F25" s="21" t="s">
        <v>143</v>
      </c>
      <c r="G25" s="21" t="s">
        <v>163</v>
      </c>
      <c r="H25" s="21" t="s">
        <v>110</v>
      </c>
      <c r="I25" s="22">
        <v>42633.0</v>
      </c>
      <c r="J25" s="23">
        <v>2.59</v>
      </c>
    </row>
    <row r="26" ht="18.0" customHeight="1">
      <c r="A26" s="20">
        <f t="shared" si="1"/>
        <v>24</v>
      </c>
      <c r="B26" s="21" t="s">
        <v>164</v>
      </c>
      <c r="C26" s="22">
        <v>42633.0</v>
      </c>
      <c r="D26" s="21" t="s">
        <v>21</v>
      </c>
      <c r="E26" s="21" t="s">
        <v>148</v>
      </c>
      <c r="F26" s="21" t="s">
        <v>108</v>
      </c>
      <c r="G26" s="21" t="s">
        <v>165</v>
      </c>
      <c r="H26" s="21" t="s">
        <v>110</v>
      </c>
      <c r="I26" s="22">
        <v>42633.0</v>
      </c>
      <c r="J26" s="23">
        <v>4.46</v>
      </c>
    </row>
    <row r="27" ht="19.5" customHeight="1">
      <c r="A27" s="20">
        <f t="shared" si="1"/>
        <v>25</v>
      </c>
      <c r="B27" s="21" t="s">
        <v>166</v>
      </c>
      <c r="C27" s="22">
        <v>42631.0</v>
      </c>
      <c r="D27" s="21" t="s">
        <v>21</v>
      </c>
      <c r="E27" s="21" t="s">
        <v>142</v>
      </c>
      <c r="F27" s="21" t="s">
        <v>143</v>
      </c>
      <c r="G27" s="26" t="s">
        <v>167</v>
      </c>
      <c r="H27" s="21" t="s">
        <v>110</v>
      </c>
      <c r="I27" s="22">
        <v>42632.0</v>
      </c>
      <c r="J27" s="23">
        <v>1.18</v>
      </c>
    </row>
    <row r="28">
      <c r="A28" s="20">
        <f t="shared" si="1"/>
        <v>26</v>
      </c>
      <c r="B28" s="21" t="s">
        <v>168</v>
      </c>
      <c r="C28" s="22">
        <v>42616.0</v>
      </c>
      <c r="D28" s="21" t="s">
        <v>21</v>
      </c>
      <c r="E28" s="21" t="s">
        <v>142</v>
      </c>
      <c r="F28" s="21" t="s">
        <v>113</v>
      </c>
      <c r="G28" s="21" t="s">
        <v>169</v>
      </c>
      <c r="H28" s="21" t="s">
        <v>115</v>
      </c>
      <c r="I28" s="22">
        <v>42618.0</v>
      </c>
      <c r="J28" s="23">
        <v>2.18</v>
      </c>
    </row>
    <row r="29">
      <c r="A29" s="20">
        <f t="shared" si="1"/>
        <v>27</v>
      </c>
      <c r="B29" s="21" t="s">
        <v>170</v>
      </c>
      <c r="C29" s="22">
        <v>42613.0</v>
      </c>
      <c r="D29" s="21" t="s">
        <v>21</v>
      </c>
      <c r="E29" s="21" t="s">
        <v>142</v>
      </c>
      <c r="F29" s="21" t="s">
        <v>118</v>
      </c>
      <c r="G29" s="21" t="s">
        <v>171</v>
      </c>
      <c r="H29" s="21" t="s">
        <v>110</v>
      </c>
      <c r="I29" s="22">
        <v>42615.0</v>
      </c>
      <c r="J29" s="23">
        <v>4.89</v>
      </c>
    </row>
    <row r="30">
      <c r="A30" s="20">
        <f t="shared" si="1"/>
        <v>28</v>
      </c>
      <c r="B30" s="21" t="s">
        <v>172</v>
      </c>
      <c r="C30" s="22">
        <v>42606.0</v>
      </c>
      <c r="D30" s="21" t="s">
        <v>21</v>
      </c>
      <c r="E30" s="21" t="s">
        <v>121</v>
      </c>
      <c r="F30" s="21" t="s">
        <v>108</v>
      </c>
      <c r="G30" s="21" t="s">
        <v>173</v>
      </c>
      <c r="H30" s="21" t="s">
        <v>115</v>
      </c>
      <c r="I30" s="22">
        <v>42606.0</v>
      </c>
      <c r="J30" s="23">
        <v>1.76</v>
      </c>
    </row>
    <row r="31">
      <c r="A31" s="20">
        <f t="shared" si="1"/>
        <v>29</v>
      </c>
      <c r="B31" s="21" t="s">
        <v>174</v>
      </c>
      <c r="C31" s="22">
        <v>42562.0</v>
      </c>
      <c r="D31" s="21" t="s">
        <v>21</v>
      </c>
      <c r="E31" s="21" t="s">
        <v>112</v>
      </c>
      <c r="F31" s="21" t="s">
        <v>143</v>
      </c>
      <c r="G31" s="21" t="s">
        <v>165</v>
      </c>
      <c r="H31" s="21" t="s">
        <v>110</v>
      </c>
      <c r="I31" s="22">
        <v>42563.0</v>
      </c>
      <c r="J31" s="23">
        <v>4.48</v>
      </c>
    </row>
    <row r="32">
      <c r="A32" s="20">
        <f t="shared" si="1"/>
        <v>30</v>
      </c>
      <c r="B32" s="21" t="s">
        <v>175</v>
      </c>
      <c r="C32" s="22">
        <v>42551.0</v>
      </c>
      <c r="D32" s="21" t="s">
        <v>21</v>
      </c>
      <c r="E32" s="21" t="s">
        <v>117</v>
      </c>
      <c r="F32" s="21" t="s">
        <v>108</v>
      </c>
      <c r="G32" s="21" t="s">
        <v>176</v>
      </c>
      <c r="H32" s="21" t="s">
        <v>110</v>
      </c>
      <c r="I32" s="22">
        <v>42553.0</v>
      </c>
      <c r="J32" s="23">
        <v>1.84</v>
      </c>
    </row>
    <row r="33">
      <c r="A33" s="20">
        <f t="shared" si="1"/>
        <v>31</v>
      </c>
      <c r="B33" s="21" t="s">
        <v>177</v>
      </c>
      <c r="C33" s="22">
        <v>42541.0</v>
      </c>
      <c r="D33" s="21" t="s">
        <v>21</v>
      </c>
      <c r="E33" s="21" t="s">
        <v>142</v>
      </c>
      <c r="F33" s="21" t="s">
        <v>149</v>
      </c>
      <c r="G33" s="21" t="s">
        <v>178</v>
      </c>
      <c r="H33" s="21" t="s">
        <v>110</v>
      </c>
      <c r="I33" s="22">
        <v>42542.0</v>
      </c>
      <c r="J33" s="23">
        <v>1.53</v>
      </c>
    </row>
    <row r="34">
      <c r="A34" s="20">
        <f t="shared" si="1"/>
        <v>32</v>
      </c>
      <c r="B34" s="21" t="s">
        <v>179</v>
      </c>
      <c r="C34" s="22">
        <v>42532.0</v>
      </c>
      <c r="D34" s="21" t="s">
        <v>21</v>
      </c>
      <c r="E34" s="21" t="s">
        <v>126</v>
      </c>
      <c r="F34" s="21" t="s">
        <v>118</v>
      </c>
      <c r="G34" s="21" t="s">
        <v>180</v>
      </c>
      <c r="H34" s="21" t="s">
        <v>110</v>
      </c>
      <c r="I34" s="22">
        <v>42533.0</v>
      </c>
      <c r="J34" s="23">
        <v>42.11</v>
      </c>
    </row>
    <row r="35">
      <c r="A35" s="20">
        <f t="shared" si="1"/>
        <v>33</v>
      </c>
      <c r="B35" s="21" t="s">
        <v>181</v>
      </c>
      <c r="C35" s="22">
        <v>42524.0</v>
      </c>
      <c r="D35" s="21" t="s">
        <v>21</v>
      </c>
      <c r="E35" s="21" t="s">
        <v>182</v>
      </c>
      <c r="F35" s="21" t="s">
        <v>118</v>
      </c>
      <c r="G35" s="21" t="s">
        <v>183</v>
      </c>
      <c r="H35" s="21" t="s">
        <v>110</v>
      </c>
      <c r="I35" s="22">
        <v>42525.0</v>
      </c>
      <c r="J35" s="23">
        <v>10.07</v>
      </c>
    </row>
    <row r="36">
      <c r="A36" s="20">
        <f t="shared" si="1"/>
        <v>34</v>
      </c>
      <c r="B36" s="21" t="s">
        <v>184</v>
      </c>
      <c r="C36" s="22">
        <v>42519.0</v>
      </c>
      <c r="D36" s="21" t="s">
        <v>21</v>
      </c>
      <c r="E36" s="21" t="s">
        <v>112</v>
      </c>
      <c r="F36" s="21" t="s">
        <v>143</v>
      </c>
      <c r="G36" s="21" t="s">
        <v>185</v>
      </c>
      <c r="H36" s="21" t="s">
        <v>186</v>
      </c>
      <c r="I36" s="22">
        <v>42520.0</v>
      </c>
      <c r="J36" s="23">
        <v>1.84</v>
      </c>
    </row>
    <row r="37">
      <c r="A37" s="20">
        <f t="shared" si="1"/>
        <v>35</v>
      </c>
      <c r="B37" s="21" t="s">
        <v>187</v>
      </c>
      <c r="C37" s="22">
        <v>42512.0</v>
      </c>
      <c r="D37" s="21" t="s">
        <v>21</v>
      </c>
      <c r="E37" s="21" t="s">
        <v>112</v>
      </c>
      <c r="F37" s="21" t="s">
        <v>113</v>
      </c>
      <c r="G37" s="21" t="s">
        <v>188</v>
      </c>
      <c r="H37" s="21" t="s">
        <v>110</v>
      </c>
      <c r="I37" s="22">
        <v>42513.0</v>
      </c>
      <c r="J37" s="23">
        <v>76.79</v>
      </c>
    </row>
    <row r="38">
      <c r="A38" s="20">
        <f t="shared" si="1"/>
        <v>36</v>
      </c>
      <c r="B38" s="21" t="s">
        <v>189</v>
      </c>
      <c r="C38" s="22">
        <v>42511.0</v>
      </c>
      <c r="D38" s="21" t="s">
        <v>21</v>
      </c>
      <c r="E38" s="21" t="s">
        <v>126</v>
      </c>
      <c r="F38" s="21" t="s">
        <v>118</v>
      </c>
      <c r="G38" s="21" t="s">
        <v>185</v>
      </c>
      <c r="H38" s="21" t="s">
        <v>110</v>
      </c>
      <c r="I38" s="22">
        <v>42512.0</v>
      </c>
      <c r="J38" s="23">
        <v>1.82</v>
      </c>
    </row>
    <row r="39">
      <c r="A39" s="20">
        <f t="shared" si="1"/>
        <v>37</v>
      </c>
      <c r="B39" s="21" t="s">
        <v>190</v>
      </c>
      <c r="C39" s="22">
        <v>42511.0</v>
      </c>
      <c r="D39" s="21" t="s">
        <v>21</v>
      </c>
      <c r="E39" s="21" t="s">
        <v>126</v>
      </c>
      <c r="F39" s="21" t="s">
        <v>118</v>
      </c>
      <c r="G39" s="21" t="s">
        <v>191</v>
      </c>
      <c r="H39" s="21" t="s">
        <v>192</v>
      </c>
      <c r="I39" s="22">
        <v>42512.0</v>
      </c>
      <c r="J39" s="23">
        <v>2.18</v>
      </c>
    </row>
    <row r="40">
      <c r="A40" s="20">
        <f t="shared" si="1"/>
        <v>38</v>
      </c>
      <c r="B40" s="21" t="s">
        <v>193</v>
      </c>
      <c r="C40" s="22">
        <v>42504.0</v>
      </c>
      <c r="D40" s="21" t="s">
        <v>21</v>
      </c>
      <c r="E40" s="21" t="s">
        <v>142</v>
      </c>
      <c r="F40" s="21" t="s">
        <v>113</v>
      </c>
      <c r="G40" s="21" t="s">
        <v>194</v>
      </c>
      <c r="H40" s="21" t="s">
        <v>110</v>
      </c>
      <c r="I40" s="22">
        <v>42506.0</v>
      </c>
      <c r="J40" s="23">
        <v>8.82</v>
      </c>
    </row>
    <row r="41">
      <c r="A41" s="20">
        <f t="shared" si="1"/>
        <v>39</v>
      </c>
      <c r="B41" s="21" t="s">
        <v>195</v>
      </c>
      <c r="C41" s="22">
        <v>42471.0</v>
      </c>
      <c r="D41" s="21" t="s">
        <v>21</v>
      </c>
      <c r="E41" s="21" t="s">
        <v>196</v>
      </c>
      <c r="F41" s="21" t="s">
        <v>149</v>
      </c>
      <c r="G41" s="21" t="s">
        <v>197</v>
      </c>
      <c r="H41" s="21" t="s">
        <v>110</v>
      </c>
      <c r="I41" s="22">
        <v>42472.0</v>
      </c>
      <c r="J41" s="23">
        <v>5.5</v>
      </c>
    </row>
    <row r="42">
      <c r="A42" s="20">
        <f t="shared" si="1"/>
        <v>40</v>
      </c>
      <c r="B42" s="21" t="s">
        <v>198</v>
      </c>
      <c r="C42" s="22">
        <v>42447.0</v>
      </c>
      <c r="D42" s="21" t="s">
        <v>21</v>
      </c>
      <c r="E42" s="21" t="s">
        <v>142</v>
      </c>
      <c r="F42" s="21" t="s">
        <v>108</v>
      </c>
      <c r="G42" s="21" t="s">
        <v>199</v>
      </c>
      <c r="H42" s="21" t="s">
        <v>110</v>
      </c>
      <c r="I42" s="22">
        <v>42452.0</v>
      </c>
      <c r="J42" s="23">
        <v>14.95</v>
      </c>
    </row>
    <row r="43">
      <c r="A43" s="20">
        <f t="shared" si="1"/>
        <v>41</v>
      </c>
      <c r="B43" s="21" t="s">
        <v>200</v>
      </c>
      <c r="C43" s="22">
        <v>42436.0</v>
      </c>
      <c r="D43" s="21" t="s">
        <v>21</v>
      </c>
      <c r="E43" s="21" t="s">
        <v>112</v>
      </c>
      <c r="F43" s="21" t="s">
        <v>143</v>
      </c>
      <c r="G43" s="21" t="s">
        <v>201</v>
      </c>
      <c r="H43" s="21" t="s">
        <v>110</v>
      </c>
      <c r="I43" s="22">
        <v>42437.0</v>
      </c>
      <c r="J43" s="23">
        <v>1.76</v>
      </c>
    </row>
    <row r="44">
      <c r="A44" s="20">
        <f t="shared" si="1"/>
        <v>42</v>
      </c>
      <c r="B44" s="21" t="s">
        <v>202</v>
      </c>
      <c r="C44" s="22">
        <v>42435.0</v>
      </c>
      <c r="D44" s="21" t="s">
        <v>21</v>
      </c>
      <c r="E44" s="21" t="s">
        <v>142</v>
      </c>
      <c r="F44" s="21" t="s">
        <v>113</v>
      </c>
      <c r="G44" s="21" t="s">
        <v>203</v>
      </c>
      <c r="H44" s="21" t="s">
        <v>110</v>
      </c>
      <c r="I44" s="22">
        <v>42436.0</v>
      </c>
      <c r="J44" s="23">
        <v>3.75</v>
      </c>
    </row>
    <row r="45">
      <c r="A45" s="20">
        <f t="shared" si="1"/>
        <v>43</v>
      </c>
      <c r="B45" s="21" t="s">
        <v>204</v>
      </c>
      <c r="C45" s="22">
        <v>42422.0</v>
      </c>
      <c r="D45" s="21" t="s">
        <v>21</v>
      </c>
      <c r="E45" s="21" t="s">
        <v>112</v>
      </c>
      <c r="F45" s="21" t="s">
        <v>113</v>
      </c>
      <c r="G45" s="21" t="s">
        <v>205</v>
      </c>
      <c r="H45" s="21" t="s">
        <v>115</v>
      </c>
      <c r="I45" s="22">
        <v>42423.0</v>
      </c>
      <c r="J45" s="23">
        <v>0.93</v>
      </c>
    </row>
    <row r="46">
      <c r="A46" s="20">
        <f t="shared" si="1"/>
        <v>44</v>
      </c>
      <c r="B46" s="21" t="s">
        <v>206</v>
      </c>
      <c r="C46" s="22">
        <v>42416.0</v>
      </c>
      <c r="D46" s="21" t="s">
        <v>21</v>
      </c>
      <c r="E46" s="21" t="s">
        <v>207</v>
      </c>
      <c r="F46" s="21" t="s">
        <v>108</v>
      </c>
      <c r="G46" s="21" t="s">
        <v>208</v>
      </c>
      <c r="H46" s="21" t="s">
        <v>110</v>
      </c>
      <c r="I46" s="22">
        <v>42421.0</v>
      </c>
      <c r="J46" s="23">
        <v>5.33</v>
      </c>
    </row>
    <row r="47">
      <c r="A47" s="20">
        <f t="shared" si="1"/>
        <v>45</v>
      </c>
      <c r="B47" s="21" t="s">
        <v>209</v>
      </c>
      <c r="C47" s="22">
        <v>42411.0</v>
      </c>
      <c r="D47" s="21" t="s">
        <v>21</v>
      </c>
      <c r="E47" s="21" t="s">
        <v>182</v>
      </c>
      <c r="F47" s="21" t="s">
        <v>108</v>
      </c>
      <c r="G47" s="21" t="s">
        <v>210</v>
      </c>
      <c r="H47" s="21" t="s">
        <v>110</v>
      </c>
      <c r="I47" s="22">
        <v>42420.0</v>
      </c>
      <c r="J47" s="23">
        <v>1.05</v>
      </c>
    </row>
    <row r="48">
      <c r="A48" s="20">
        <f t="shared" si="1"/>
        <v>46</v>
      </c>
      <c r="B48" s="21" t="s">
        <v>211</v>
      </c>
      <c r="C48" s="22">
        <v>42413.0</v>
      </c>
      <c r="D48" s="21" t="s">
        <v>21</v>
      </c>
      <c r="E48" s="21" t="s">
        <v>207</v>
      </c>
      <c r="F48" s="21" t="s">
        <v>149</v>
      </c>
      <c r="G48" s="21" t="s">
        <v>131</v>
      </c>
      <c r="H48" s="21" t="s">
        <v>110</v>
      </c>
      <c r="I48" s="22">
        <v>42416.0</v>
      </c>
      <c r="J48" s="23">
        <v>3.52</v>
      </c>
    </row>
    <row r="49">
      <c r="A49" s="20">
        <f t="shared" si="1"/>
        <v>47</v>
      </c>
      <c r="B49" s="21" t="s">
        <v>212</v>
      </c>
      <c r="C49" s="22">
        <v>42393.0</v>
      </c>
      <c r="D49" s="21" t="s">
        <v>21</v>
      </c>
      <c r="E49" s="21" t="s">
        <v>142</v>
      </c>
      <c r="F49" s="21" t="s">
        <v>118</v>
      </c>
      <c r="G49" s="21" t="s">
        <v>122</v>
      </c>
      <c r="H49" s="21" t="s">
        <v>110</v>
      </c>
      <c r="I49" s="22">
        <v>42394.0</v>
      </c>
      <c r="J49" s="23">
        <v>2.9</v>
      </c>
    </row>
    <row r="50">
      <c r="A50" s="20">
        <f t="shared" si="1"/>
        <v>48</v>
      </c>
      <c r="B50" s="21" t="s">
        <v>213</v>
      </c>
      <c r="C50" s="22">
        <v>42388.0</v>
      </c>
      <c r="D50" s="21" t="s">
        <v>21</v>
      </c>
      <c r="E50" s="21" t="s">
        <v>126</v>
      </c>
      <c r="F50" s="21" t="s">
        <v>118</v>
      </c>
      <c r="G50" s="21" t="s">
        <v>214</v>
      </c>
      <c r="H50" s="21" t="s">
        <v>115</v>
      </c>
      <c r="I50" s="22">
        <v>42388.0</v>
      </c>
      <c r="J50" s="23">
        <v>0.94</v>
      </c>
    </row>
    <row r="51">
      <c r="A51" s="20">
        <f t="shared" si="1"/>
        <v>49</v>
      </c>
      <c r="B51" s="21" t="s">
        <v>215</v>
      </c>
      <c r="C51" s="22">
        <v>42386.0</v>
      </c>
      <c r="D51" s="21" t="s">
        <v>21</v>
      </c>
      <c r="E51" s="21" t="s">
        <v>112</v>
      </c>
      <c r="F51" s="21" t="s">
        <v>143</v>
      </c>
      <c r="G51" s="21" t="s">
        <v>216</v>
      </c>
      <c r="H51" s="21" t="s">
        <v>115</v>
      </c>
      <c r="I51" s="22">
        <v>42386.0</v>
      </c>
      <c r="J51" s="23">
        <v>11.04</v>
      </c>
    </row>
    <row r="52">
      <c r="A52" s="20">
        <f t="shared" si="1"/>
        <v>50</v>
      </c>
      <c r="B52" s="21" t="s">
        <v>217</v>
      </c>
      <c r="C52" s="22">
        <v>42371.0</v>
      </c>
      <c r="D52" s="21" t="s">
        <v>21</v>
      </c>
      <c r="E52" s="21" t="s">
        <v>142</v>
      </c>
      <c r="F52" s="21" t="s">
        <v>113</v>
      </c>
      <c r="G52" s="21" t="s">
        <v>218</v>
      </c>
      <c r="H52" s="21" t="s">
        <v>115</v>
      </c>
      <c r="I52" s="22">
        <v>42372.0</v>
      </c>
      <c r="J52" s="23">
        <v>1.84</v>
      </c>
    </row>
    <row r="53">
      <c r="A53" s="20">
        <f t="shared" si="1"/>
        <v>51</v>
      </c>
      <c r="B53" s="21" t="s">
        <v>219</v>
      </c>
      <c r="C53" s="22">
        <v>42366.0</v>
      </c>
      <c r="D53" s="21" t="s">
        <v>21</v>
      </c>
      <c r="E53" s="21" t="s">
        <v>126</v>
      </c>
      <c r="F53" s="21" t="s">
        <v>118</v>
      </c>
      <c r="G53" s="21" t="s">
        <v>188</v>
      </c>
      <c r="H53" s="21" t="s">
        <v>110</v>
      </c>
      <c r="I53" s="22">
        <v>42368.0</v>
      </c>
      <c r="J53" s="23">
        <v>67.73</v>
      </c>
    </row>
    <row r="54">
      <c r="A54" s="20">
        <f t="shared" si="1"/>
        <v>52</v>
      </c>
      <c r="B54" s="21" t="s">
        <v>220</v>
      </c>
      <c r="C54" s="22">
        <v>42354.0</v>
      </c>
      <c r="D54" s="21" t="s">
        <v>21</v>
      </c>
      <c r="E54" s="21" t="s">
        <v>126</v>
      </c>
      <c r="F54" s="21" t="s">
        <v>118</v>
      </c>
      <c r="G54" s="21" t="s">
        <v>185</v>
      </c>
      <c r="H54" s="21" t="s">
        <v>110</v>
      </c>
      <c r="I54" s="22">
        <v>42356.0</v>
      </c>
      <c r="J54" s="23">
        <v>1.76</v>
      </c>
    </row>
    <row r="55">
      <c r="A55" s="20">
        <f t="shared" si="1"/>
        <v>53</v>
      </c>
      <c r="B55" s="21" t="s">
        <v>221</v>
      </c>
      <c r="C55" s="27">
        <v>42354.0</v>
      </c>
      <c r="D55" s="21" t="s">
        <v>21</v>
      </c>
      <c r="E55" s="21" t="s">
        <v>126</v>
      </c>
      <c r="F55" s="21" t="s">
        <v>118</v>
      </c>
      <c r="G55" s="21" t="s">
        <v>222</v>
      </c>
      <c r="H55" s="21" t="s">
        <v>115</v>
      </c>
      <c r="I55" s="22">
        <v>42356.0</v>
      </c>
      <c r="J55" s="23">
        <v>2.31</v>
      </c>
    </row>
    <row r="56">
      <c r="A56" s="20">
        <f t="shared" si="1"/>
        <v>54</v>
      </c>
      <c r="B56" s="21" t="s">
        <v>223</v>
      </c>
      <c r="C56" s="22">
        <v>42344.0</v>
      </c>
      <c r="D56" s="21" t="s">
        <v>21</v>
      </c>
      <c r="E56" s="21" t="s">
        <v>112</v>
      </c>
      <c r="F56" s="21" t="s">
        <v>113</v>
      </c>
      <c r="G56" s="21" t="s">
        <v>188</v>
      </c>
      <c r="H56" s="21" t="s">
        <v>110</v>
      </c>
      <c r="I56" s="22">
        <v>42345.0</v>
      </c>
      <c r="J56" s="23">
        <v>75.0</v>
      </c>
    </row>
    <row r="57">
      <c r="A57" s="20">
        <f t="shared" si="1"/>
        <v>55</v>
      </c>
      <c r="B57" s="21" t="s">
        <v>224</v>
      </c>
      <c r="C57" s="22">
        <v>42324.0</v>
      </c>
      <c r="D57" s="21" t="s">
        <v>21</v>
      </c>
      <c r="E57" s="21" t="s">
        <v>126</v>
      </c>
      <c r="F57" s="21" t="s">
        <v>118</v>
      </c>
      <c r="G57" s="21" t="s">
        <v>225</v>
      </c>
      <c r="H57" s="21" t="s">
        <v>110</v>
      </c>
      <c r="I57" s="22">
        <v>42325.0</v>
      </c>
      <c r="J57" s="23">
        <v>3.84</v>
      </c>
    </row>
    <row r="58">
      <c r="A58" s="20">
        <f t="shared" si="1"/>
        <v>56</v>
      </c>
      <c r="B58" s="21" t="s">
        <v>226</v>
      </c>
      <c r="C58" s="22">
        <v>42318.0</v>
      </c>
      <c r="D58" s="21" t="s">
        <v>21</v>
      </c>
      <c r="E58" s="21" t="s">
        <v>142</v>
      </c>
      <c r="F58" s="21" t="s">
        <v>108</v>
      </c>
      <c r="G58" s="21" t="s">
        <v>227</v>
      </c>
      <c r="H58" s="21" t="s">
        <v>110</v>
      </c>
      <c r="I58" s="22">
        <v>42322.0</v>
      </c>
      <c r="J58" s="23">
        <v>278.99</v>
      </c>
    </row>
    <row r="59">
      <c r="A59" s="20">
        <f t="shared" si="1"/>
        <v>57</v>
      </c>
      <c r="B59" s="21" t="s">
        <v>228</v>
      </c>
      <c r="C59" s="22">
        <v>42319.0</v>
      </c>
      <c r="D59" s="21" t="s">
        <v>21</v>
      </c>
      <c r="E59" s="21" t="s">
        <v>142</v>
      </c>
      <c r="F59" s="21" t="s">
        <v>149</v>
      </c>
      <c r="G59" s="21" t="s">
        <v>155</v>
      </c>
      <c r="H59" s="21" t="s">
        <v>110</v>
      </c>
      <c r="I59" s="22">
        <v>42321.0</v>
      </c>
      <c r="J59" s="23">
        <v>20.18</v>
      </c>
    </row>
    <row r="60">
      <c r="A60" s="20">
        <f t="shared" si="1"/>
        <v>58</v>
      </c>
      <c r="B60" s="21" t="s">
        <v>229</v>
      </c>
      <c r="C60" s="22">
        <v>42297.0</v>
      </c>
      <c r="D60" s="21" t="s">
        <v>21</v>
      </c>
      <c r="E60" s="21" t="s">
        <v>230</v>
      </c>
      <c r="F60" s="21" t="s">
        <v>108</v>
      </c>
      <c r="G60" s="21" t="s">
        <v>231</v>
      </c>
      <c r="H60" s="21" t="s">
        <v>110</v>
      </c>
      <c r="I60" s="22">
        <v>42301.0</v>
      </c>
      <c r="J60" s="23">
        <v>62.4</v>
      </c>
    </row>
    <row r="61">
      <c r="A61" s="20">
        <f t="shared" si="1"/>
        <v>59</v>
      </c>
      <c r="B61" s="21" t="s">
        <v>232</v>
      </c>
      <c r="C61" s="22">
        <v>42286.0</v>
      </c>
      <c r="D61" s="21" t="s">
        <v>21</v>
      </c>
      <c r="E61" s="21" t="s">
        <v>126</v>
      </c>
      <c r="F61" s="21" t="s">
        <v>149</v>
      </c>
      <c r="G61" s="21" t="s">
        <v>233</v>
      </c>
      <c r="H61" s="21" t="s">
        <v>115</v>
      </c>
      <c r="I61" s="22">
        <v>42288.0</v>
      </c>
      <c r="J61" s="23">
        <v>0.9</v>
      </c>
    </row>
    <row r="62">
      <c r="A62" s="20">
        <f t="shared" si="1"/>
        <v>60</v>
      </c>
      <c r="B62" s="21" t="s">
        <v>234</v>
      </c>
      <c r="C62" s="22">
        <v>42278.0</v>
      </c>
      <c r="D62" s="21" t="s">
        <v>21</v>
      </c>
      <c r="E62" s="21" t="s">
        <v>235</v>
      </c>
      <c r="F62" s="21" t="s">
        <v>108</v>
      </c>
      <c r="G62" s="21" t="s">
        <v>236</v>
      </c>
      <c r="H62" s="21" t="s">
        <v>110</v>
      </c>
      <c r="I62" s="22">
        <v>42287.0</v>
      </c>
      <c r="J62" s="23">
        <v>81.59</v>
      </c>
    </row>
    <row r="63">
      <c r="A63" s="20">
        <f t="shared" si="1"/>
        <v>61</v>
      </c>
      <c r="B63" s="21" t="s">
        <v>237</v>
      </c>
      <c r="C63" s="22">
        <v>42273.0</v>
      </c>
      <c r="D63" s="21" t="s">
        <v>21</v>
      </c>
      <c r="E63" s="21" t="s">
        <v>126</v>
      </c>
      <c r="F63" s="21" t="s">
        <v>149</v>
      </c>
      <c r="G63" s="21" t="s">
        <v>238</v>
      </c>
      <c r="H63" s="21" t="s">
        <v>110</v>
      </c>
      <c r="I63" s="22">
        <v>42275.0</v>
      </c>
      <c r="J63" s="23">
        <v>4.59</v>
      </c>
    </row>
    <row r="64">
      <c r="A64" s="20">
        <f t="shared" si="1"/>
        <v>62</v>
      </c>
      <c r="B64" s="21" t="s">
        <v>239</v>
      </c>
      <c r="C64" s="22">
        <v>42258.0</v>
      </c>
      <c r="D64" s="21" t="s">
        <v>21</v>
      </c>
      <c r="E64" s="21" t="s">
        <v>112</v>
      </c>
      <c r="F64" s="21" t="s">
        <v>113</v>
      </c>
      <c r="G64" s="21" t="s">
        <v>240</v>
      </c>
      <c r="H64" s="21" t="s">
        <v>110</v>
      </c>
      <c r="I64" s="22">
        <v>42258.0</v>
      </c>
      <c r="J64" s="23">
        <v>19.78</v>
      </c>
    </row>
    <row r="65">
      <c r="A65" s="20">
        <f t="shared" si="1"/>
        <v>63</v>
      </c>
      <c r="B65" s="21" t="s">
        <v>241</v>
      </c>
      <c r="C65" s="22">
        <v>42244.0</v>
      </c>
      <c r="D65" s="21" t="s">
        <v>21</v>
      </c>
      <c r="E65" s="21" t="s">
        <v>230</v>
      </c>
      <c r="F65" s="21" t="s">
        <v>118</v>
      </c>
      <c r="G65" s="21" t="s">
        <v>183</v>
      </c>
      <c r="H65" s="21" t="s">
        <v>110</v>
      </c>
      <c r="I65" s="22">
        <v>42246.0</v>
      </c>
      <c r="J65" s="23">
        <v>10.07</v>
      </c>
    </row>
    <row r="66">
      <c r="A66" s="20">
        <f t="shared" si="1"/>
        <v>64</v>
      </c>
      <c r="B66" s="21" t="s">
        <v>242</v>
      </c>
      <c r="C66" s="22">
        <v>42237.0</v>
      </c>
      <c r="D66" s="21" t="s">
        <v>21</v>
      </c>
      <c r="E66" s="21" t="s">
        <v>112</v>
      </c>
      <c r="F66" s="21" t="s">
        <v>113</v>
      </c>
      <c r="G66" s="21" t="s">
        <v>243</v>
      </c>
      <c r="H66" s="21" t="s">
        <v>110</v>
      </c>
      <c r="I66" s="22">
        <v>42239.0</v>
      </c>
      <c r="J66" s="23">
        <v>10.07</v>
      </c>
    </row>
    <row r="67">
      <c r="A67" s="20">
        <f t="shared" si="1"/>
        <v>65</v>
      </c>
      <c r="B67" s="21" t="s">
        <v>244</v>
      </c>
      <c r="C67" s="22">
        <v>42227.0</v>
      </c>
      <c r="D67" s="21" t="s">
        <v>21</v>
      </c>
      <c r="E67" s="21" t="s">
        <v>142</v>
      </c>
      <c r="F67" s="21" t="s">
        <v>149</v>
      </c>
      <c r="G67" s="21" t="s">
        <v>240</v>
      </c>
      <c r="H67" s="21" t="s">
        <v>110</v>
      </c>
      <c r="I67" s="22">
        <v>42230.0</v>
      </c>
      <c r="J67" s="23">
        <v>19.78</v>
      </c>
    </row>
    <row r="68">
      <c r="A68" s="20">
        <f t="shared" si="1"/>
        <v>66</v>
      </c>
      <c r="B68" s="21" t="s">
        <v>245</v>
      </c>
      <c r="C68" s="22">
        <v>42226.0</v>
      </c>
      <c r="D68" s="21" t="s">
        <v>21</v>
      </c>
      <c r="E68" s="21" t="s">
        <v>142</v>
      </c>
      <c r="F68" s="21" t="s">
        <v>113</v>
      </c>
      <c r="G68" s="21" t="s">
        <v>246</v>
      </c>
      <c r="H68" s="21" t="s">
        <v>110</v>
      </c>
      <c r="I68" s="22">
        <v>42229.0</v>
      </c>
      <c r="J68" s="23">
        <v>2.26</v>
      </c>
    </row>
    <row r="69">
      <c r="A69" s="20">
        <f t="shared" si="1"/>
        <v>67</v>
      </c>
      <c r="B69" s="21" t="s">
        <v>247</v>
      </c>
      <c r="C69" s="22">
        <v>42227.0</v>
      </c>
      <c r="D69" s="21" t="s">
        <v>21</v>
      </c>
      <c r="E69" s="21" t="s">
        <v>248</v>
      </c>
      <c r="F69" s="21" t="s">
        <v>149</v>
      </c>
      <c r="G69" s="21" t="s">
        <v>169</v>
      </c>
      <c r="H69" s="21" t="s">
        <v>115</v>
      </c>
      <c r="I69" s="22">
        <v>42228.0</v>
      </c>
      <c r="J69" s="23">
        <v>1.94</v>
      </c>
    </row>
    <row r="70">
      <c r="A70" s="20">
        <f t="shared" si="1"/>
        <v>68</v>
      </c>
      <c r="B70" s="21" t="s">
        <v>249</v>
      </c>
      <c r="C70" s="22">
        <v>42226.0</v>
      </c>
      <c r="D70" s="21" t="s">
        <v>21</v>
      </c>
      <c r="E70" s="21" t="s">
        <v>142</v>
      </c>
      <c r="F70" s="21" t="s">
        <v>113</v>
      </c>
      <c r="G70" s="21" t="s">
        <v>250</v>
      </c>
      <c r="H70" s="21" t="s">
        <v>110</v>
      </c>
      <c r="I70" s="22">
        <v>42227.0</v>
      </c>
      <c r="J70" s="23">
        <v>5.19</v>
      </c>
    </row>
    <row r="71">
      <c r="A71" s="20">
        <f t="shared" si="1"/>
        <v>69</v>
      </c>
      <c r="B71" s="21" t="s">
        <v>251</v>
      </c>
      <c r="C71" s="22">
        <v>42218.0</v>
      </c>
      <c r="D71" s="21" t="s">
        <v>21</v>
      </c>
      <c r="E71" s="21" t="s">
        <v>112</v>
      </c>
      <c r="F71" s="21" t="s">
        <v>113</v>
      </c>
      <c r="G71" s="21" t="s">
        <v>205</v>
      </c>
      <c r="H71" s="21" t="s">
        <v>115</v>
      </c>
      <c r="I71" s="22">
        <v>42220.0</v>
      </c>
      <c r="J71" s="23">
        <v>0.94</v>
      </c>
    </row>
    <row r="72">
      <c r="A72" s="20">
        <f t="shared" si="1"/>
        <v>70</v>
      </c>
      <c r="B72" s="21" t="s">
        <v>252</v>
      </c>
      <c r="C72" s="27">
        <v>42217.0</v>
      </c>
      <c r="D72" s="21" t="s">
        <v>21</v>
      </c>
      <c r="E72" s="21" t="s">
        <v>126</v>
      </c>
      <c r="F72" s="21" t="s">
        <v>118</v>
      </c>
      <c r="G72" s="21" t="s">
        <v>253</v>
      </c>
      <c r="H72" s="21" t="s">
        <v>115</v>
      </c>
      <c r="I72" s="22">
        <v>42219.0</v>
      </c>
      <c r="J72" s="23">
        <v>1.31</v>
      </c>
    </row>
    <row r="73">
      <c r="A73" s="20">
        <f t="shared" si="1"/>
        <v>71</v>
      </c>
      <c r="B73" s="21" t="s">
        <v>254</v>
      </c>
      <c r="C73" s="27">
        <v>42190.0</v>
      </c>
      <c r="D73" s="21" t="s">
        <v>21</v>
      </c>
      <c r="E73" s="21" t="s">
        <v>142</v>
      </c>
      <c r="F73" s="21" t="s">
        <v>118</v>
      </c>
      <c r="G73" s="21" t="s">
        <v>255</v>
      </c>
      <c r="H73" s="21" t="s">
        <v>115</v>
      </c>
      <c r="I73" s="22">
        <v>42192.0</v>
      </c>
      <c r="J73" s="23">
        <v>2.29</v>
      </c>
    </row>
    <row r="74">
      <c r="A74" s="20">
        <f t="shared" si="1"/>
        <v>72</v>
      </c>
      <c r="B74" s="21" t="s">
        <v>256</v>
      </c>
      <c r="C74" s="22">
        <v>42182.0</v>
      </c>
      <c r="D74" s="21" t="s">
        <v>21</v>
      </c>
      <c r="E74" s="21" t="s">
        <v>112</v>
      </c>
      <c r="F74" s="21" t="s">
        <v>113</v>
      </c>
      <c r="G74" s="21" t="s">
        <v>243</v>
      </c>
      <c r="H74" s="21" t="s">
        <v>110</v>
      </c>
      <c r="I74" s="22">
        <v>42184.0</v>
      </c>
      <c r="J74" s="25">
        <v>10.0</v>
      </c>
    </row>
    <row r="75">
      <c r="A75" s="20">
        <f t="shared" si="1"/>
        <v>73</v>
      </c>
      <c r="B75" s="21" t="s">
        <v>257</v>
      </c>
      <c r="C75" s="22">
        <v>42180.0</v>
      </c>
      <c r="D75" s="21" t="s">
        <v>21</v>
      </c>
      <c r="E75" s="21" t="s">
        <v>126</v>
      </c>
      <c r="F75" s="21" t="s">
        <v>149</v>
      </c>
      <c r="G75" s="21" t="s">
        <v>188</v>
      </c>
      <c r="H75" s="21" t="s">
        <v>110</v>
      </c>
      <c r="I75" s="22">
        <v>42181.0</v>
      </c>
      <c r="J75" s="23">
        <v>67.73</v>
      </c>
    </row>
    <row r="76">
      <c r="A76" s="20">
        <f t="shared" si="1"/>
        <v>74</v>
      </c>
      <c r="B76" s="21" t="s">
        <v>258</v>
      </c>
      <c r="C76" s="22">
        <v>42168.0</v>
      </c>
      <c r="D76" s="21" t="s">
        <v>21</v>
      </c>
      <c r="E76" s="21" t="s">
        <v>112</v>
      </c>
      <c r="F76" s="21" t="s">
        <v>113</v>
      </c>
      <c r="G76" s="21" t="s">
        <v>191</v>
      </c>
      <c r="H76" s="21" t="s">
        <v>192</v>
      </c>
      <c r="I76" s="22">
        <v>42171.0</v>
      </c>
      <c r="J76" s="23">
        <v>2.39</v>
      </c>
    </row>
    <row r="77">
      <c r="A77" s="20">
        <f t="shared" si="1"/>
        <v>75</v>
      </c>
      <c r="B77" s="21" t="s">
        <v>259</v>
      </c>
      <c r="C77" s="22">
        <v>42165.0</v>
      </c>
      <c r="D77" s="21" t="s">
        <v>21</v>
      </c>
      <c r="E77" s="21" t="s">
        <v>112</v>
      </c>
      <c r="F77" s="21" t="s">
        <v>118</v>
      </c>
      <c r="G77" s="21" t="s">
        <v>210</v>
      </c>
      <c r="H77" s="21" t="s">
        <v>110</v>
      </c>
      <c r="I77" s="22">
        <v>42167.0</v>
      </c>
      <c r="J77" s="23">
        <v>0.94</v>
      </c>
    </row>
    <row r="78">
      <c r="A78" s="20">
        <f t="shared" si="1"/>
        <v>76</v>
      </c>
      <c r="B78" s="21" t="s">
        <v>260</v>
      </c>
      <c r="C78" s="22">
        <v>42155.0</v>
      </c>
      <c r="D78" s="21" t="s">
        <v>21</v>
      </c>
      <c r="E78" s="21" t="s">
        <v>261</v>
      </c>
      <c r="F78" s="21" t="s">
        <v>108</v>
      </c>
      <c r="G78" s="21" t="s">
        <v>185</v>
      </c>
      <c r="H78" s="21" t="s">
        <v>110</v>
      </c>
      <c r="I78" s="22">
        <v>42160.0</v>
      </c>
      <c r="J78" s="23">
        <v>1.84</v>
      </c>
    </row>
    <row r="79">
      <c r="A79" s="20">
        <f t="shared" si="1"/>
        <v>77</v>
      </c>
      <c r="B79" s="21" t="s">
        <v>262</v>
      </c>
      <c r="C79" s="22">
        <v>42144.0</v>
      </c>
      <c r="D79" s="21" t="s">
        <v>21</v>
      </c>
      <c r="E79" s="21" t="s">
        <v>261</v>
      </c>
      <c r="F79" s="21" t="s">
        <v>118</v>
      </c>
      <c r="G79" s="21" t="s">
        <v>263</v>
      </c>
      <c r="H79" s="21" t="s">
        <v>115</v>
      </c>
      <c r="I79" s="22">
        <v>42145.0</v>
      </c>
      <c r="J79" s="23">
        <v>1.05</v>
      </c>
    </row>
    <row r="80">
      <c r="A80" s="20">
        <f t="shared" si="1"/>
        <v>78</v>
      </c>
      <c r="B80" s="21" t="s">
        <v>264</v>
      </c>
      <c r="C80" s="22">
        <v>42143.0</v>
      </c>
      <c r="D80" s="21" t="s">
        <v>21</v>
      </c>
      <c r="E80" s="21" t="s">
        <v>126</v>
      </c>
      <c r="F80" s="21" t="s">
        <v>118</v>
      </c>
      <c r="G80" s="21" t="s">
        <v>153</v>
      </c>
      <c r="H80" s="21" t="s">
        <v>110</v>
      </c>
      <c r="I80" s="22">
        <v>42144.0</v>
      </c>
      <c r="J80" s="23">
        <v>13.88</v>
      </c>
    </row>
    <row r="81">
      <c r="A81" s="20">
        <f t="shared" si="1"/>
        <v>79</v>
      </c>
      <c r="B81" s="21" t="s">
        <v>265</v>
      </c>
      <c r="C81" s="22">
        <v>42112.0</v>
      </c>
      <c r="D81" s="21" t="s">
        <v>21</v>
      </c>
      <c r="E81" s="21" t="s">
        <v>142</v>
      </c>
      <c r="F81" s="21" t="s">
        <v>143</v>
      </c>
      <c r="G81" s="21" t="s">
        <v>266</v>
      </c>
      <c r="H81" s="21" t="s">
        <v>110</v>
      </c>
      <c r="I81" s="22">
        <v>42112.0</v>
      </c>
      <c r="J81" s="23">
        <v>4.46</v>
      </c>
    </row>
    <row r="82">
      <c r="A82" s="20">
        <f t="shared" si="1"/>
        <v>80</v>
      </c>
      <c r="B82" s="21" t="s">
        <v>267</v>
      </c>
      <c r="C82" s="22">
        <v>42104.0</v>
      </c>
      <c r="D82" s="21" t="s">
        <v>21</v>
      </c>
      <c r="E82" s="21" t="s">
        <v>142</v>
      </c>
      <c r="F82" s="21" t="s">
        <v>118</v>
      </c>
      <c r="G82" s="21" t="s">
        <v>268</v>
      </c>
      <c r="H82" s="21" t="s">
        <v>110</v>
      </c>
      <c r="I82" s="22">
        <v>42105.0</v>
      </c>
      <c r="J82" s="23">
        <v>21.56</v>
      </c>
    </row>
    <row r="83">
      <c r="A83" s="20">
        <f t="shared" si="1"/>
        <v>81</v>
      </c>
      <c r="B83" s="21" t="s">
        <v>269</v>
      </c>
      <c r="C83" s="22">
        <v>42034.0</v>
      </c>
      <c r="D83" s="21" t="s">
        <v>21</v>
      </c>
      <c r="E83" s="21" t="s">
        <v>112</v>
      </c>
      <c r="F83" s="21" t="s">
        <v>113</v>
      </c>
      <c r="G83" s="21" t="s">
        <v>129</v>
      </c>
      <c r="H83" s="21" t="s">
        <v>115</v>
      </c>
      <c r="I83" s="22">
        <v>42035.0</v>
      </c>
      <c r="J83" s="23">
        <v>2.18</v>
      </c>
    </row>
    <row r="84">
      <c r="A84" s="20">
        <f t="shared" si="1"/>
        <v>82</v>
      </c>
      <c r="B84" s="21" t="s">
        <v>270</v>
      </c>
      <c r="C84" s="22">
        <v>42032.0</v>
      </c>
      <c r="D84" s="21" t="s">
        <v>21</v>
      </c>
      <c r="E84" s="21" t="s">
        <v>112</v>
      </c>
      <c r="F84" s="21" t="s">
        <v>143</v>
      </c>
      <c r="G84" s="21" t="s">
        <v>194</v>
      </c>
      <c r="H84" s="21" t="s">
        <v>110</v>
      </c>
      <c r="I84" s="22">
        <v>42033.0</v>
      </c>
      <c r="J84" s="23">
        <v>2.0</v>
      </c>
    </row>
    <row r="85">
      <c r="A85" s="20">
        <f t="shared" si="1"/>
        <v>83</v>
      </c>
      <c r="B85" s="21" t="s">
        <v>271</v>
      </c>
      <c r="C85" s="22">
        <v>42024.0</v>
      </c>
      <c r="D85" s="21" t="s">
        <v>21</v>
      </c>
      <c r="E85" s="21" t="s">
        <v>142</v>
      </c>
      <c r="F85" s="21" t="s">
        <v>113</v>
      </c>
      <c r="G85" s="21" t="s">
        <v>272</v>
      </c>
      <c r="H85" s="21" t="s">
        <v>110</v>
      </c>
      <c r="I85" s="22">
        <v>42025.0</v>
      </c>
      <c r="J85" s="23">
        <v>3.48</v>
      </c>
    </row>
    <row r="86">
      <c r="A86" s="20">
        <f t="shared" si="1"/>
        <v>84</v>
      </c>
      <c r="B86" s="21" t="s">
        <v>273</v>
      </c>
      <c r="C86" s="22">
        <v>42024.0</v>
      </c>
      <c r="D86" s="21" t="s">
        <v>21</v>
      </c>
      <c r="E86" s="21" t="s">
        <v>142</v>
      </c>
      <c r="F86" s="21" t="s">
        <v>113</v>
      </c>
      <c r="G86" s="21" t="s">
        <v>188</v>
      </c>
      <c r="H86" s="21" t="s">
        <v>110</v>
      </c>
      <c r="I86" s="22">
        <v>42025.0</v>
      </c>
      <c r="J86" s="23">
        <v>76.79</v>
      </c>
    </row>
    <row r="87">
      <c r="A87" s="20">
        <f t="shared" si="1"/>
        <v>85</v>
      </c>
      <c r="B87" s="21" t="s">
        <v>274</v>
      </c>
      <c r="C87" s="22">
        <v>42016.0</v>
      </c>
      <c r="D87" s="21" t="s">
        <v>21</v>
      </c>
      <c r="E87" s="21" t="s">
        <v>142</v>
      </c>
      <c r="F87" s="21" t="s">
        <v>113</v>
      </c>
      <c r="G87" s="21" t="s">
        <v>275</v>
      </c>
      <c r="H87" s="21" t="s">
        <v>110</v>
      </c>
      <c r="I87" s="22">
        <v>42018.0</v>
      </c>
      <c r="J87" s="23">
        <v>4.19</v>
      </c>
    </row>
    <row r="88">
      <c r="A88" s="20">
        <f t="shared" si="1"/>
        <v>86</v>
      </c>
      <c r="B88" s="21" t="s">
        <v>276</v>
      </c>
      <c r="C88" s="22">
        <v>42016.0</v>
      </c>
      <c r="D88" s="21" t="s">
        <v>21</v>
      </c>
      <c r="E88" s="21" t="s">
        <v>126</v>
      </c>
      <c r="F88" s="21" t="s">
        <v>118</v>
      </c>
      <c r="G88" s="21" t="s">
        <v>277</v>
      </c>
      <c r="H88" s="21" t="s">
        <v>110</v>
      </c>
      <c r="I88" s="22">
        <v>42017.0</v>
      </c>
      <c r="J88" s="23">
        <v>5.19</v>
      </c>
    </row>
    <row r="89">
      <c r="A89" s="20">
        <f t="shared" si="1"/>
        <v>87</v>
      </c>
      <c r="B89" s="21" t="s">
        <v>278</v>
      </c>
      <c r="C89" s="22">
        <v>42003.0</v>
      </c>
      <c r="D89" s="21" t="s">
        <v>21</v>
      </c>
      <c r="E89" s="21" t="s">
        <v>142</v>
      </c>
      <c r="F89" s="21" t="s">
        <v>113</v>
      </c>
      <c r="G89" s="21" t="s">
        <v>279</v>
      </c>
      <c r="H89" s="21" t="s">
        <v>110</v>
      </c>
      <c r="I89" s="22">
        <v>42004.0</v>
      </c>
      <c r="J89" s="23">
        <v>14.95</v>
      </c>
    </row>
    <row r="90">
      <c r="A90" s="20">
        <f t="shared" si="1"/>
        <v>88</v>
      </c>
      <c r="B90" s="21" t="s">
        <v>280</v>
      </c>
      <c r="C90" s="28">
        <v>42000.0</v>
      </c>
      <c r="D90" s="29" t="s">
        <v>21</v>
      </c>
      <c r="E90" s="29" t="s">
        <v>142</v>
      </c>
      <c r="F90" s="29" t="s">
        <v>149</v>
      </c>
      <c r="G90" s="29" t="s">
        <v>281</v>
      </c>
      <c r="H90" s="29" t="s">
        <v>110</v>
      </c>
      <c r="I90" s="28">
        <v>42002.0</v>
      </c>
      <c r="J90" s="24">
        <v>6.39</v>
      </c>
    </row>
    <row r="91">
      <c r="A91" s="20">
        <f t="shared" si="1"/>
        <v>89</v>
      </c>
      <c r="B91" s="21" t="s">
        <v>282</v>
      </c>
      <c r="C91" s="28">
        <v>42000.0</v>
      </c>
      <c r="D91" s="29" t="s">
        <v>21</v>
      </c>
      <c r="E91" s="29" t="s">
        <v>142</v>
      </c>
      <c r="F91" s="29" t="s">
        <v>149</v>
      </c>
      <c r="G91" s="29" t="s">
        <v>185</v>
      </c>
      <c r="H91" s="29" t="s">
        <v>110</v>
      </c>
      <c r="I91" s="28">
        <v>42000.0</v>
      </c>
      <c r="J91" s="24">
        <v>1.82</v>
      </c>
    </row>
    <row r="92">
      <c r="A92" s="20">
        <f t="shared" si="1"/>
        <v>90</v>
      </c>
      <c r="B92" s="21" t="s">
        <v>283</v>
      </c>
      <c r="C92" s="28">
        <v>41983.0</v>
      </c>
      <c r="D92" s="29" t="s">
        <v>21</v>
      </c>
      <c r="E92" s="29" t="s">
        <v>112</v>
      </c>
      <c r="F92" s="29" t="s">
        <v>113</v>
      </c>
      <c r="G92" s="29" t="s">
        <v>131</v>
      </c>
      <c r="H92" s="29" t="s">
        <v>110</v>
      </c>
      <c r="I92" s="28">
        <v>41984.0</v>
      </c>
      <c r="J92" s="24">
        <v>3.65</v>
      </c>
    </row>
    <row r="93">
      <c r="A93" s="20">
        <f t="shared" si="1"/>
        <v>91</v>
      </c>
      <c r="B93" s="21" t="s">
        <v>284</v>
      </c>
      <c r="C93" s="28">
        <v>41969.0</v>
      </c>
      <c r="D93" s="29" t="s">
        <v>21</v>
      </c>
      <c r="E93" s="29" t="s">
        <v>126</v>
      </c>
      <c r="F93" s="29" t="s">
        <v>149</v>
      </c>
      <c r="G93" s="29" t="s">
        <v>169</v>
      </c>
      <c r="H93" s="29" t="s">
        <v>115</v>
      </c>
      <c r="I93" s="28">
        <v>41971.0</v>
      </c>
      <c r="J93" s="24">
        <v>2.29</v>
      </c>
    </row>
    <row r="94">
      <c r="A94" s="20">
        <f t="shared" si="1"/>
        <v>92</v>
      </c>
      <c r="B94" s="21" t="s">
        <v>285</v>
      </c>
      <c r="C94" s="28">
        <v>41946.0</v>
      </c>
      <c r="D94" s="29" t="s">
        <v>21</v>
      </c>
      <c r="E94" s="29" t="s">
        <v>142</v>
      </c>
      <c r="F94" s="29" t="s">
        <v>143</v>
      </c>
      <c r="G94" s="29" t="s">
        <v>286</v>
      </c>
      <c r="H94" s="29" t="s">
        <v>115</v>
      </c>
      <c r="I94" s="28">
        <v>41947.0</v>
      </c>
      <c r="J94" s="24">
        <v>2.31</v>
      </c>
    </row>
    <row r="95">
      <c r="A95" s="20">
        <f t="shared" si="1"/>
        <v>93</v>
      </c>
      <c r="B95" s="21" t="s">
        <v>287</v>
      </c>
      <c r="C95" s="28">
        <v>41945.0</v>
      </c>
      <c r="D95" s="29" t="s">
        <v>21</v>
      </c>
      <c r="E95" s="29" t="s">
        <v>135</v>
      </c>
      <c r="F95" s="29" t="s">
        <v>149</v>
      </c>
      <c r="G95" s="29" t="s">
        <v>288</v>
      </c>
      <c r="H95" s="29" t="s">
        <v>110</v>
      </c>
      <c r="I95" s="28">
        <v>41947.0</v>
      </c>
      <c r="J95" s="24">
        <v>3.32</v>
      </c>
    </row>
    <row r="96">
      <c r="A96" s="20">
        <f t="shared" si="1"/>
        <v>94</v>
      </c>
      <c r="B96" s="21" t="s">
        <v>289</v>
      </c>
      <c r="C96" s="28">
        <v>41921.0</v>
      </c>
      <c r="D96" s="29" t="s">
        <v>21</v>
      </c>
      <c r="E96" s="29" t="s">
        <v>235</v>
      </c>
      <c r="F96" s="29" t="s">
        <v>108</v>
      </c>
      <c r="G96" s="29" t="s">
        <v>131</v>
      </c>
      <c r="H96" s="29" t="s">
        <v>110</v>
      </c>
      <c r="I96" s="28">
        <v>41921.0</v>
      </c>
      <c r="J96" s="24">
        <v>3.52</v>
      </c>
    </row>
    <row r="97">
      <c r="A97" s="20">
        <f t="shared" si="1"/>
        <v>95</v>
      </c>
      <c r="B97" s="21" t="s">
        <v>290</v>
      </c>
      <c r="C97" s="28">
        <v>41899.0</v>
      </c>
      <c r="D97" s="29" t="s">
        <v>21</v>
      </c>
      <c r="E97" s="29" t="s">
        <v>291</v>
      </c>
      <c r="F97" s="29" t="s">
        <v>118</v>
      </c>
      <c r="G97" s="29" t="s">
        <v>292</v>
      </c>
      <c r="H97" s="29" t="s">
        <v>110</v>
      </c>
      <c r="I97" s="28">
        <v>41900.0</v>
      </c>
      <c r="J97" s="24">
        <v>10.0</v>
      </c>
    </row>
    <row r="98">
      <c r="A98" s="20">
        <f t="shared" si="1"/>
        <v>96</v>
      </c>
      <c r="B98" s="21" t="s">
        <v>293</v>
      </c>
      <c r="C98" s="28">
        <v>41858.0</v>
      </c>
      <c r="D98" s="29" t="s">
        <v>21</v>
      </c>
      <c r="E98" s="29" t="s">
        <v>126</v>
      </c>
      <c r="F98" s="29" t="s">
        <v>118</v>
      </c>
      <c r="G98" s="29" t="s">
        <v>171</v>
      </c>
      <c r="H98" s="29" t="s">
        <v>110</v>
      </c>
      <c r="I98" s="28">
        <v>41860.0</v>
      </c>
      <c r="J98" s="24">
        <v>5.19</v>
      </c>
    </row>
    <row r="99">
      <c r="A99" s="20">
        <f t="shared" si="1"/>
        <v>97</v>
      </c>
      <c r="B99" s="21" t="s">
        <v>294</v>
      </c>
      <c r="C99" s="28">
        <v>41854.0</v>
      </c>
      <c r="D99" s="29" t="s">
        <v>21</v>
      </c>
      <c r="E99" s="29" t="s">
        <v>142</v>
      </c>
      <c r="F99" s="29" t="s">
        <v>143</v>
      </c>
      <c r="G99" s="29" t="s">
        <v>266</v>
      </c>
      <c r="H99" s="29" t="s">
        <v>110</v>
      </c>
      <c r="I99" s="28">
        <v>41855.0</v>
      </c>
      <c r="J99" s="24">
        <v>4.37</v>
      </c>
    </row>
    <row r="100">
      <c r="A100" s="20">
        <f t="shared" si="1"/>
        <v>98</v>
      </c>
      <c r="B100" s="21" t="s">
        <v>295</v>
      </c>
      <c r="C100" s="28">
        <v>41844.0</v>
      </c>
      <c r="D100" s="29" t="s">
        <v>21</v>
      </c>
      <c r="E100" s="29" t="s">
        <v>142</v>
      </c>
      <c r="F100" s="29" t="s">
        <v>118</v>
      </c>
      <c r="G100" s="29" t="s">
        <v>296</v>
      </c>
      <c r="H100" s="29" t="s">
        <v>110</v>
      </c>
      <c r="I100" s="28">
        <v>41846.0</v>
      </c>
      <c r="J100" s="24">
        <v>19.83</v>
      </c>
    </row>
    <row r="101">
      <c r="A101" s="20">
        <f t="shared" si="1"/>
        <v>99</v>
      </c>
      <c r="B101" s="21" t="s">
        <v>297</v>
      </c>
      <c r="C101" s="28">
        <v>41825.0</v>
      </c>
      <c r="D101" s="29" t="s">
        <v>21</v>
      </c>
      <c r="E101" s="29" t="s">
        <v>298</v>
      </c>
      <c r="F101" s="29" t="s">
        <v>118</v>
      </c>
      <c r="G101" s="29" t="s">
        <v>199</v>
      </c>
      <c r="H101" s="29" t="s">
        <v>110</v>
      </c>
      <c r="I101" s="28">
        <v>41828.0</v>
      </c>
      <c r="J101" s="24">
        <v>14.95</v>
      </c>
    </row>
    <row r="102">
      <c r="A102" s="20">
        <f t="shared" si="1"/>
        <v>100</v>
      </c>
      <c r="B102" s="21" t="s">
        <v>299</v>
      </c>
      <c r="C102" s="28">
        <v>41761.0</v>
      </c>
      <c r="D102" s="29" t="s">
        <v>21</v>
      </c>
      <c r="E102" s="29" t="s">
        <v>126</v>
      </c>
      <c r="F102" s="29" t="s">
        <v>118</v>
      </c>
      <c r="G102" s="29" t="s">
        <v>300</v>
      </c>
      <c r="H102" s="29" t="s">
        <v>110</v>
      </c>
      <c r="I102" s="28">
        <v>41762.0</v>
      </c>
      <c r="J102" s="24">
        <v>8.92</v>
      </c>
    </row>
    <row r="103">
      <c r="A103" s="20">
        <f t="shared" si="1"/>
        <v>101</v>
      </c>
      <c r="B103" s="21" t="s">
        <v>301</v>
      </c>
      <c r="C103" s="28">
        <v>41735.0</v>
      </c>
      <c r="D103" s="29" t="s">
        <v>21</v>
      </c>
      <c r="E103" s="29" t="s">
        <v>142</v>
      </c>
      <c r="F103" s="29" t="s">
        <v>108</v>
      </c>
      <c r="G103" s="29" t="s">
        <v>236</v>
      </c>
      <c r="H103" s="29" t="s">
        <v>110</v>
      </c>
      <c r="I103" s="28">
        <v>41740.0</v>
      </c>
      <c r="J103" s="24">
        <v>99.39</v>
      </c>
    </row>
    <row r="104">
      <c r="A104" s="20">
        <f t="shared" si="1"/>
        <v>102</v>
      </c>
      <c r="B104" s="21" t="s">
        <v>302</v>
      </c>
      <c r="C104" s="28">
        <v>41731.0</v>
      </c>
      <c r="D104" s="29" t="s">
        <v>21</v>
      </c>
      <c r="E104" s="29" t="s">
        <v>142</v>
      </c>
      <c r="F104" s="29" t="s">
        <v>118</v>
      </c>
      <c r="G104" s="29" t="s">
        <v>109</v>
      </c>
      <c r="H104" s="29" t="s">
        <v>110</v>
      </c>
      <c r="I104" s="28">
        <v>41733.0</v>
      </c>
      <c r="J104" s="24">
        <v>22.18</v>
      </c>
    </row>
    <row r="105">
      <c r="A105" s="20">
        <f t="shared" si="1"/>
        <v>103</v>
      </c>
      <c r="B105" s="21" t="s">
        <v>303</v>
      </c>
      <c r="C105" s="28">
        <v>41729.0</v>
      </c>
      <c r="D105" s="29" t="s">
        <v>21</v>
      </c>
      <c r="E105" s="29" t="s">
        <v>112</v>
      </c>
      <c r="F105" s="29" t="s">
        <v>113</v>
      </c>
      <c r="G105" s="29" t="s">
        <v>304</v>
      </c>
      <c r="H105" s="29" t="s">
        <v>110</v>
      </c>
      <c r="I105" s="28">
        <v>41729.0</v>
      </c>
      <c r="J105" s="24">
        <v>3.5</v>
      </c>
    </row>
    <row r="106">
      <c r="A106" s="20">
        <f t="shared" si="1"/>
        <v>104</v>
      </c>
      <c r="B106" s="21" t="s">
        <v>305</v>
      </c>
      <c r="C106" s="28">
        <v>41709.0</v>
      </c>
      <c r="D106" s="29" t="s">
        <v>21</v>
      </c>
      <c r="E106" s="29" t="s">
        <v>112</v>
      </c>
      <c r="F106" s="29" t="s">
        <v>143</v>
      </c>
      <c r="G106" s="29" t="s">
        <v>306</v>
      </c>
      <c r="H106" s="29" t="s">
        <v>110</v>
      </c>
      <c r="I106" s="28">
        <v>41710.0</v>
      </c>
      <c r="J106" s="24">
        <v>1.3</v>
      </c>
    </row>
    <row r="107">
      <c r="A107" s="20">
        <f t="shared" si="1"/>
        <v>105</v>
      </c>
      <c r="B107" s="21" t="s">
        <v>307</v>
      </c>
      <c r="C107" s="28">
        <v>41673.0</v>
      </c>
      <c r="D107" s="29" t="s">
        <v>21</v>
      </c>
      <c r="E107" s="29" t="s">
        <v>133</v>
      </c>
      <c r="F107" s="29" t="s">
        <v>118</v>
      </c>
      <c r="G107" s="29" t="s">
        <v>308</v>
      </c>
      <c r="H107" s="29" t="s">
        <v>115</v>
      </c>
      <c r="I107" s="28">
        <v>41674.0</v>
      </c>
      <c r="J107" s="24">
        <v>1.3</v>
      </c>
    </row>
    <row r="108">
      <c r="A108" s="20">
        <f t="shared" si="1"/>
        <v>106</v>
      </c>
      <c r="B108" s="21" t="s">
        <v>309</v>
      </c>
      <c r="C108" s="28">
        <v>41665.0</v>
      </c>
      <c r="D108" s="29" t="s">
        <v>21</v>
      </c>
      <c r="E108" s="29" t="s">
        <v>126</v>
      </c>
      <c r="F108" s="29" t="s">
        <v>118</v>
      </c>
      <c r="G108" s="29" t="s">
        <v>169</v>
      </c>
      <c r="H108" s="29" t="s">
        <v>115</v>
      </c>
      <c r="I108" s="28">
        <v>41666.0</v>
      </c>
      <c r="J108" s="24">
        <v>1.94</v>
      </c>
    </row>
    <row r="109">
      <c r="A109" s="20">
        <f t="shared" si="1"/>
        <v>107</v>
      </c>
      <c r="B109" s="21" t="s">
        <v>310</v>
      </c>
      <c r="C109" s="28">
        <v>41663.0</v>
      </c>
      <c r="D109" s="29" t="s">
        <v>21</v>
      </c>
      <c r="E109" s="29" t="s">
        <v>126</v>
      </c>
      <c r="F109" s="29" t="s">
        <v>149</v>
      </c>
      <c r="G109" s="29" t="s">
        <v>311</v>
      </c>
      <c r="H109" s="29" t="s">
        <v>115</v>
      </c>
      <c r="I109" s="28">
        <v>41665.0</v>
      </c>
      <c r="J109" s="24">
        <v>1.18</v>
      </c>
    </row>
    <row r="110">
      <c r="A110" s="20">
        <f t="shared" si="1"/>
        <v>108</v>
      </c>
      <c r="B110" s="21" t="s">
        <v>312</v>
      </c>
      <c r="C110" s="28">
        <v>41656.0</v>
      </c>
      <c r="D110" s="29" t="s">
        <v>21</v>
      </c>
      <c r="E110" s="29" t="s">
        <v>126</v>
      </c>
      <c r="F110" s="29" t="s">
        <v>118</v>
      </c>
      <c r="G110" s="29" t="s">
        <v>313</v>
      </c>
      <c r="H110" s="29" t="s">
        <v>110</v>
      </c>
      <c r="I110" s="28">
        <v>41658.0</v>
      </c>
      <c r="J110" s="24">
        <v>3.84</v>
      </c>
    </row>
    <row r="111">
      <c r="A111" s="20">
        <f t="shared" si="1"/>
        <v>109</v>
      </c>
      <c r="B111" s="21" t="s">
        <v>314</v>
      </c>
      <c r="C111" s="28">
        <v>41654.0</v>
      </c>
      <c r="D111" s="29" t="s">
        <v>21</v>
      </c>
      <c r="E111" s="29" t="s">
        <v>112</v>
      </c>
      <c r="F111" s="29" t="s">
        <v>143</v>
      </c>
      <c r="G111" s="29" t="s">
        <v>315</v>
      </c>
      <c r="H111" s="29" t="s">
        <v>115</v>
      </c>
      <c r="I111" s="28">
        <v>41656.0</v>
      </c>
      <c r="J111" s="24">
        <v>0.94</v>
      </c>
    </row>
    <row r="112">
      <c r="A112" s="20">
        <f t="shared" si="1"/>
        <v>110</v>
      </c>
      <c r="B112" s="21" t="s">
        <v>316</v>
      </c>
      <c r="C112" s="28">
        <v>41646.0</v>
      </c>
      <c r="D112" s="29" t="s">
        <v>21</v>
      </c>
      <c r="E112" s="29" t="s">
        <v>142</v>
      </c>
      <c r="F112" s="29" t="s">
        <v>143</v>
      </c>
      <c r="G112" s="29" t="s">
        <v>281</v>
      </c>
      <c r="H112" s="29" t="s">
        <v>110</v>
      </c>
      <c r="I112" s="28">
        <v>41647.0</v>
      </c>
      <c r="J112" s="24">
        <v>6.51</v>
      </c>
    </row>
    <row r="113">
      <c r="A113" s="20">
        <f t="shared" si="1"/>
        <v>111</v>
      </c>
      <c r="B113" s="21" t="s">
        <v>317</v>
      </c>
      <c r="C113" s="28">
        <v>41646.0</v>
      </c>
      <c r="D113" s="29" t="s">
        <v>21</v>
      </c>
      <c r="E113" s="29" t="s">
        <v>126</v>
      </c>
      <c r="F113" s="29" t="s">
        <v>149</v>
      </c>
      <c r="G113" s="29" t="s">
        <v>167</v>
      </c>
      <c r="H113" s="29" t="s">
        <v>110</v>
      </c>
      <c r="I113" s="28">
        <v>41646.0</v>
      </c>
      <c r="J113" s="24">
        <v>1.18</v>
      </c>
    </row>
    <row r="114">
      <c r="A114" s="20">
        <f t="shared" si="1"/>
        <v>112</v>
      </c>
      <c r="B114" s="21" t="s">
        <v>318</v>
      </c>
      <c r="C114" s="28">
        <v>41643.0</v>
      </c>
      <c r="D114" s="29" t="s">
        <v>21</v>
      </c>
      <c r="E114" s="29" t="s">
        <v>112</v>
      </c>
      <c r="F114" s="29" t="s">
        <v>118</v>
      </c>
      <c r="G114" s="29" t="s">
        <v>319</v>
      </c>
      <c r="H114" s="29" t="s">
        <v>110</v>
      </c>
      <c r="I114" s="28">
        <v>41645.0</v>
      </c>
      <c r="J114" s="24">
        <v>4.19</v>
      </c>
    </row>
    <row r="115">
      <c r="A115" s="20">
        <f t="shared" si="1"/>
        <v>113</v>
      </c>
      <c r="B115" s="21" t="s">
        <v>320</v>
      </c>
      <c r="C115" s="28">
        <v>41643.0</v>
      </c>
      <c r="D115" s="29" t="s">
        <v>21</v>
      </c>
      <c r="E115" s="29" t="s">
        <v>112</v>
      </c>
      <c r="F115" s="29" t="s">
        <v>118</v>
      </c>
      <c r="G115" s="29" t="s">
        <v>321</v>
      </c>
      <c r="H115" s="29" t="s">
        <v>110</v>
      </c>
      <c r="I115" s="28">
        <v>41644.0</v>
      </c>
      <c r="J115" s="24">
        <v>1.46</v>
      </c>
    </row>
    <row r="116">
      <c r="A116" s="20">
        <f t="shared" si="1"/>
        <v>114</v>
      </c>
      <c r="B116" s="21" t="s">
        <v>322</v>
      </c>
      <c r="C116" s="28">
        <v>41596.0</v>
      </c>
      <c r="D116" s="29" t="s">
        <v>21</v>
      </c>
      <c r="E116" s="29" t="s">
        <v>248</v>
      </c>
      <c r="F116" s="29" t="s">
        <v>108</v>
      </c>
      <c r="G116" s="29" t="s">
        <v>296</v>
      </c>
      <c r="H116" s="29" t="s">
        <v>110</v>
      </c>
      <c r="I116" s="28">
        <v>41598.0</v>
      </c>
      <c r="J116" s="24">
        <v>20.18</v>
      </c>
    </row>
    <row r="117">
      <c r="A117" s="20">
        <f t="shared" si="1"/>
        <v>115</v>
      </c>
      <c r="B117" s="21" t="s">
        <v>323</v>
      </c>
      <c r="C117" s="28">
        <v>41594.0</v>
      </c>
      <c r="D117" s="29" t="s">
        <v>21</v>
      </c>
      <c r="E117" s="29" t="s">
        <v>142</v>
      </c>
      <c r="F117" s="29" t="s">
        <v>118</v>
      </c>
      <c r="G117" s="29" t="s">
        <v>240</v>
      </c>
      <c r="H117" s="29" t="s">
        <v>110</v>
      </c>
      <c r="I117" s="28">
        <v>41595.0</v>
      </c>
      <c r="J117" s="24">
        <v>16.8</v>
      </c>
    </row>
    <row r="118">
      <c r="A118" s="20">
        <f t="shared" si="1"/>
        <v>116</v>
      </c>
      <c r="B118" s="21" t="s">
        <v>324</v>
      </c>
      <c r="C118" s="28">
        <v>41560.0</v>
      </c>
      <c r="D118" s="29" t="s">
        <v>21</v>
      </c>
      <c r="E118" s="29" t="s">
        <v>142</v>
      </c>
      <c r="F118" s="29" t="s">
        <v>118</v>
      </c>
      <c r="G118" s="29" t="s">
        <v>325</v>
      </c>
      <c r="H118" s="29" t="s">
        <v>115</v>
      </c>
      <c r="I118" s="28">
        <v>41561.0</v>
      </c>
      <c r="J118" s="24">
        <v>1.19</v>
      </c>
    </row>
    <row r="119">
      <c r="A119" s="20">
        <f t="shared" si="1"/>
        <v>117</v>
      </c>
      <c r="B119" s="21" t="s">
        <v>326</v>
      </c>
      <c r="C119" s="28">
        <v>41560.0</v>
      </c>
      <c r="D119" s="29" t="s">
        <v>21</v>
      </c>
      <c r="E119" s="29" t="s">
        <v>126</v>
      </c>
      <c r="F119" s="29" t="s">
        <v>118</v>
      </c>
      <c r="G119" s="29" t="s">
        <v>238</v>
      </c>
      <c r="H119" s="29" t="s">
        <v>110</v>
      </c>
      <c r="I119" s="28">
        <v>41560.0</v>
      </c>
      <c r="J119" s="24">
        <v>4.59</v>
      </c>
    </row>
    <row r="120">
      <c r="A120" s="20">
        <f t="shared" si="1"/>
        <v>118</v>
      </c>
      <c r="B120" s="21" t="s">
        <v>327</v>
      </c>
      <c r="C120" s="28">
        <v>41539.0</v>
      </c>
      <c r="D120" s="29" t="s">
        <v>21</v>
      </c>
      <c r="E120" s="29" t="s">
        <v>126</v>
      </c>
      <c r="F120" s="29" t="s">
        <v>118</v>
      </c>
      <c r="G120" s="29" t="s">
        <v>127</v>
      </c>
      <c r="H120" s="29" t="s">
        <v>110</v>
      </c>
      <c r="I120" s="28">
        <v>41541.0</v>
      </c>
      <c r="J120" s="24">
        <v>99.39</v>
      </c>
    </row>
    <row r="121">
      <c r="A121" s="20">
        <f t="shared" si="1"/>
        <v>119</v>
      </c>
      <c r="B121" s="21" t="s">
        <v>328</v>
      </c>
      <c r="C121" s="28">
        <v>41537.0</v>
      </c>
      <c r="D121" s="29" t="s">
        <v>21</v>
      </c>
      <c r="E121" s="29" t="s">
        <v>142</v>
      </c>
      <c r="F121" s="29" t="s">
        <v>149</v>
      </c>
      <c r="G121" s="29" t="s">
        <v>329</v>
      </c>
      <c r="H121" s="29" t="s">
        <v>110</v>
      </c>
      <c r="I121" s="28">
        <v>41538.0</v>
      </c>
      <c r="J121" s="24">
        <v>1.33</v>
      </c>
    </row>
    <row r="122">
      <c r="A122" s="20">
        <f t="shared" si="1"/>
        <v>120</v>
      </c>
      <c r="B122" s="21" t="s">
        <v>330</v>
      </c>
      <c r="C122" s="28">
        <v>41534.0</v>
      </c>
      <c r="D122" s="29" t="s">
        <v>21</v>
      </c>
      <c r="E122" s="29" t="s">
        <v>126</v>
      </c>
      <c r="F122" s="29" t="s">
        <v>149</v>
      </c>
      <c r="G122" s="29" t="s">
        <v>266</v>
      </c>
      <c r="H122" s="29" t="s">
        <v>110</v>
      </c>
      <c r="I122" s="28">
        <v>41536.0</v>
      </c>
      <c r="J122" s="24">
        <v>4.19</v>
      </c>
    </row>
    <row r="123">
      <c r="A123" s="20">
        <f t="shared" si="1"/>
        <v>121</v>
      </c>
      <c r="B123" s="21" t="s">
        <v>331</v>
      </c>
      <c r="C123" s="28">
        <v>41529.0</v>
      </c>
      <c r="D123" s="29" t="s">
        <v>21</v>
      </c>
      <c r="E123" s="29" t="s">
        <v>196</v>
      </c>
      <c r="F123" s="29" t="s">
        <v>118</v>
      </c>
      <c r="G123" s="29" t="s">
        <v>161</v>
      </c>
      <c r="H123" s="29" t="s">
        <v>110</v>
      </c>
      <c r="I123" s="28">
        <v>41531.0</v>
      </c>
      <c r="J123" s="24">
        <v>3.48</v>
      </c>
    </row>
    <row r="124">
      <c r="A124" s="20">
        <f t="shared" si="1"/>
        <v>122</v>
      </c>
      <c r="B124" s="21" t="s">
        <v>332</v>
      </c>
      <c r="C124" s="28">
        <v>41521.0</v>
      </c>
      <c r="D124" s="29" t="s">
        <v>21</v>
      </c>
      <c r="E124" s="29" t="s">
        <v>291</v>
      </c>
      <c r="F124" s="29" t="s">
        <v>108</v>
      </c>
      <c r="G124" s="29" t="s">
        <v>313</v>
      </c>
      <c r="H124" s="29" t="s">
        <v>110</v>
      </c>
      <c r="I124" s="28">
        <v>41526.0</v>
      </c>
      <c r="J124" s="24">
        <v>3.88</v>
      </c>
    </row>
    <row r="125">
      <c r="A125" s="20">
        <f t="shared" si="1"/>
        <v>123</v>
      </c>
      <c r="B125" s="21" t="s">
        <v>333</v>
      </c>
      <c r="C125" s="28">
        <v>41500.0</v>
      </c>
      <c r="D125" s="29" t="s">
        <v>21</v>
      </c>
      <c r="E125" s="29" t="s">
        <v>298</v>
      </c>
      <c r="F125" s="29" t="s">
        <v>108</v>
      </c>
      <c r="G125" s="29" t="s">
        <v>243</v>
      </c>
      <c r="H125" s="29" t="s">
        <v>110</v>
      </c>
      <c r="I125" s="28">
        <v>41509.0</v>
      </c>
      <c r="J125" s="24">
        <v>10.0</v>
      </c>
    </row>
    <row r="126">
      <c r="A126" s="20">
        <f t="shared" si="1"/>
        <v>124</v>
      </c>
      <c r="B126" s="21" t="s">
        <v>334</v>
      </c>
      <c r="C126" s="28">
        <v>41485.0</v>
      </c>
      <c r="D126" s="29" t="s">
        <v>21</v>
      </c>
      <c r="E126" s="29" t="s">
        <v>112</v>
      </c>
      <c r="F126" s="29" t="s">
        <v>113</v>
      </c>
      <c r="G126" s="29" t="s">
        <v>311</v>
      </c>
      <c r="H126" s="29" t="s">
        <v>115</v>
      </c>
      <c r="I126" s="28">
        <v>41486.0</v>
      </c>
      <c r="J126" s="24">
        <v>1.18</v>
      </c>
    </row>
    <row r="127">
      <c r="A127" s="20">
        <f t="shared" si="1"/>
        <v>125</v>
      </c>
      <c r="B127" s="21" t="s">
        <v>335</v>
      </c>
      <c r="C127" s="28">
        <v>41479.0</v>
      </c>
      <c r="D127" s="29" t="s">
        <v>21</v>
      </c>
      <c r="E127" s="29" t="s">
        <v>126</v>
      </c>
      <c r="F127" s="29" t="s">
        <v>118</v>
      </c>
      <c r="G127" s="29" t="s">
        <v>336</v>
      </c>
      <c r="H127" s="29" t="s">
        <v>110</v>
      </c>
      <c r="I127" s="28">
        <v>41481.0</v>
      </c>
      <c r="J127" s="24">
        <v>4.19</v>
      </c>
    </row>
    <row r="128">
      <c r="A128" s="20">
        <f t="shared" si="1"/>
        <v>126</v>
      </c>
      <c r="B128" s="21" t="s">
        <v>337</v>
      </c>
      <c r="C128" s="28">
        <v>41477.0</v>
      </c>
      <c r="D128" s="29" t="s">
        <v>21</v>
      </c>
      <c r="E128" s="29" t="s">
        <v>107</v>
      </c>
      <c r="F128" s="29" t="s">
        <v>149</v>
      </c>
      <c r="G128" s="29" t="s">
        <v>338</v>
      </c>
      <c r="H128" s="29" t="s">
        <v>110</v>
      </c>
      <c r="I128" s="28">
        <v>41478.0</v>
      </c>
      <c r="J128" s="24">
        <v>36.02</v>
      </c>
    </row>
    <row r="129">
      <c r="A129" s="20">
        <f t="shared" si="1"/>
        <v>127</v>
      </c>
      <c r="B129" s="21" t="s">
        <v>339</v>
      </c>
      <c r="C129" s="28">
        <v>41465.0</v>
      </c>
      <c r="D129" s="29" t="s">
        <v>21</v>
      </c>
      <c r="E129" s="29" t="s">
        <v>340</v>
      </c>
      <c r="F129" s="29" t="s">
        <v>118</v>
      </c>
      <c r="G129" s="29" t="s">
        <v>341</v>
      </c>
      <c r="H129" s="29" t="s">
        <v>110</v>
      </c>
      <c r="I129" s="28">
        <v>41465.0</v>
      </c>
      <c r="J129" s="24">
        <v>0.71</v>
      </c>
    </row>
    <row r="130">
      <c r="A130" s="20">
        <f t="shared" si="1"/>
        <v>128</v>
      </c>
      <c r="B130" s="21" t="s">
        <v>342</v>
      </c>
      <c r="C130" s="22">
        <v>41461.0</v>
      </c>
      <c r="D130" s="21" t="s">
        <v>21</v>
      </c>
      <c r="E130" s="21" t="s">
        <v>112</v>
      </c>
      <c r="F130" s="21" t="s">
        <v>143</v>
      </c>
      <c r="G130" s="21" t="s">
        <v>343</v>
      </c>
      <c r="H130" s="21" t="s">
        <v>110</v>
      </c>
      <c r="I130" s="22">
        <v>41461.0</v>
      </c>
      <c r="J130" s="23">
        <v>1.59</v>
      </c>
    </row>
    <row r="131">
      <c r="A131" s="20">
        <f t="shared" si="1"/>
        <v>129</v>
      </c>
      <c r="B131" s="21" t="s">
        <v>344</v>
      </c>
      <c r="C131" s="22">
        <v>41445.0</v>
      </c>
      <c r="D131" s="21" t="s">
        <v>21</v>
      </c>
      <c r="E131" s="21" t="s">
        <v>112</v>
      </c>
      <c r="F131" s="21" t="s">
        <v>143</v>
      </c>
      <c r="G131" s="21" t="s">
        <v>300</v>
      </c>
      <c r="H131" s="21" t="s">
        <v>110</v>
      </c>
      <c r="I131" s="22">
        <v>41446.0</v>
      </c>
      <c r="J131" s="23">
        <v>9.91</v>
      </c>
    </row>
    <row r="132">
      <c r="A132" s="20">
        <f t="shared" si="1"/>
        <v>130</v>
      </c>
      <c r="B132" s="21" t="s">
        <v>345</v>
      </c>
      <c r="C132" s="22">
        <v>41431.0</v>
      </c>
      <c r="D132" s="21" t="s">
        <v>21</v>
      </c>
      <c r="E132" s="21" t="s">
        <v>112</v>
      </c>
      <c r="F132" s="21" t="s">
        <v>143</v>
      </c>
      <c r="G132" s="21" t="s">
        <v>346</v>
      </c>
      <c r="H132" s="21" t="s">
        <v>110</v>
      </c>
      <c r="I132" s="22">
        <v>41433.0</v>
      </c>
      <c r="J132" s="23">
        <v>4.59</v>
      </c>
    </row>
    <row r="133">
      <c r="A133" s="20">
        <f t="shared" si="1"/>
        <v>131</v>
      </c>
      <c r="B133" s="21" t="s">
        <v>347</v>
      </c>
      <c r="C133" s="22">
        <v>41430.0</v>
      </c>
      <c r="D133" s="21" t="s">
        <v>21</v>
      </c>
      <c r="E133" s="21" t="s">
        <v>126</v>
      </c>
      <c r="F133" s="21" t="s">
        <v>118</v>
      </c>
      <c r="G133" s="21" t="s">
        <v>329</v>
      </c>
      <c r="H133" s="21" t="s">
        <v>110</v>
      </c>
      <c r="I133" s="22">
        <v>41432.0</v>
      </c>
      <c r="J133" s="23">
        <v>0.24</v>
      </c>
    </row>
    <row r="134">
      <c r="A134" s="20">
        <f t="shared" si="1"/>
        <v>132</v>
      </c>
      <c r="B134" s="21" t="s">
        <v>348</v>
      </c>
      <c r="C134" s="22">
        <v>41429.0</v>
      </c>
      <c r="D134" s="21" t="s">
        <v>21</v>
      </c>
      <c r="E134" s="21" t="s">
        <v>142</v>
      </c>
      <c r="F134" s="21" t="s">
        <v>113</v>
      </c>
      <c r="G134" s="21" t="s">
        <v>349</v>
      </c>
      <c r="H134" s="21" t="s">
        <v>110</v>
      </c>
      <c r="I134" s="22">
        <v>41431.0</v>
      </c>
      <c r="J134" s="23">
        <v>14.95</v>
      </c>
    </row>
    <row r="135">
      <c r="A135" s="20">
        <f t="shared" si="1"/>
        <v>133</v>
      </c>
      <c r="B135" s="21" t="s">
        <v>350</v>
      </c>
      <c r="C135" s="22">
        <v>41427.0</v>
      </c>
      <c r="D135" s="21" t="s">
        <v>21</v>
      </c>
      <c r="E135" s="21" t="s">
        <v>351</v>
      </c>
      <c r="F135" s="21" t="s">
        <v>108</v>
      </c>
      <c r="G135" s="21" t="s">
        <v>146</v>
      </c>
      <c r="H135" s="21" t="s">
        <v>115</v>
      </c>
      <c r="I135" s="22">
        <v>41429.0</v>
      </c>
      <c r="J135" s="23">
        <v>1.59</v>
      </c>
    </row>
    <row r="136">
      <c r="A136" s="20">
        <f t="shared" si="1"/>
        <v>134</v>
      </c>
      <c r="B136" s="21" t="s">
        <v>352</v>
      </c>
      <c r="C136" s="22">
        <v>41425.0</v>
      </c>
      <c r="D136" s="21" t="s">
        <v>21</v>
      </c>
      <c r="E136" s="21" t="s">
        <v>112</v>
      </c>
      <c r="F136" s="21" t="s">
        <v>143</v>
      </c>
      <c r="G136" s="21" t="s">
        <v>353</v>
      </c>
      <c r="H136" s="21" t="s">
        <v>110</v>
      </c>
      <c r="I136" s="22">
        <v>41425.0</v>
      </c>
      <c r="J136" s="23">
        <v>2.29</v>
      </c>
    </row>
    <row r="137">
      <c r="A137" s="20">
        <f t="shared" si="1"/>
        <v>135</v>
      </c>
      <c r="B137" s="21" t="s">
        <v>354</v>
      </c>
      <c r="C137" s="22">
        <v>41416.0</v>
      </c>
      <c r="D137" s="21" t="s">
        <v>21</v>
      </c>
      <c r="E137" s="21" t="s">
        <v>126</v>
      </c>
      <c r="F137" s="21" t="s">
        <v>118</v>
      </c>
      <c r="G137" s="21" t="s">
        <v>119</v>
      </c>
      <c r="H137" s="21" t="s">
        <v>110</v>
      </c>
      <c r="I137" s="22">
        <v>41417.0</v>
      </c>
      <c r="J137" s="23">
        <v>50.0</v>
      </c>
    </row>
    <row r="138">
      <c r="A138" s="20">
        <f t="shared" si="1"/>
        <v>136</v>
      </c>
      <c r="B138" s="21" t="s">
        <v>355</v>
      </c>
      <c r="C138" s="22">
        <v>41414.0</v>
      </c>
      <c r="D138" s="21" t="s">
        <v>21</v>
      </c>
      <c r="E138" s="21" t="s">
        <v>112</v>
      </c>
      <c r="F138" s="21" t="s">
        <v>113</v>
      </c>
      <c r="G138" s="21" t="s">
        <v>356</v>
      </c>
      <c r="H138" s="21" t="s">
        <v>110</v>
      </c>
      <c r="I138" s="22">
        <v>41416.0</v>
      </c>
      <c r="J138" s="23">
        <v>1.84</v>
      </c>
    </row>
    <row r="139">
      <c r="A139" s="20">
        <f t="shared" si="1"/>
        <v>137</v>
      </c>
      <c r="B139" s="21" t="s">
        <v>357</v>
      </c>
      <c r="C139" s="22">
        <v>41413.0</v>
      </c>
      <c r="D139" s="21" t="s">
        <v>21</v>
      </c>
      <c r="E139" s="21" t="s">
        <v>126</v>
      </c>
      <c r="F139" s="21" t="s">
        <v>149</v>
      </c>
      <c r="G139" s="21" t="s">
        <v>358</v>
      </c>
      <c r="H139" s="21" t="s">
        <v>115</v>
      </c>
      <c r="I139" s="22">
        <v>41414.0</v>
      </c>
      <c r="J139" s="23">
        <v>2.29</v>
      </c>
    </row>
    <row r="140">
      <c r="A140" s="20">
        <f t="shared" si="1"/>
        <v>138</v>
      </c>
      <c r="B140" s="21" t="s">
        <v>359</v>
      </c>
      <c r="C140" s="22">
        <v>41409.0</v>
      </c>
      <c r="D140" s="21" t="s">
        <v>21</v>
      </c>
      <c r="E140" s="21" t="s">
        <v>126</v>
      </c>
      <c r="F140" s="21" t="s">
        <v>149</v>
      </c>
      <c r="G140" s="21" t="s">
        <v>173</v>
      </c>
      <c r="H140" s="21" t="s">
        <v>115</v>
      </c>
      <c r="I140" s="22">
        <v>41410.0</v>
      </c>
      <c r="J140" s="23">
        <v>1.76</v>
      </c>
    </row>
    <row r="141">
      <c r="A141" s="20">
        <f t="shared" si="1"/>
        <v>139</v>
      </c>
      <c r="B141" s="21" t="s">
        <v>360</v>
      </c>
      <c r="C141" s="22">
        <v>41363.0</v>
      </c>
      <c r="D141" s="21" t="s">
        <v>21</v>
      </c>
      <c r="E141" s="21" t="s">
        <v>112</v>
      </c>
      <c r="F141" s="21" t="s">
        <v>113</v>
      </c>
      <c r="G141" s="21" t="s">
        <v>127</v>
      </c>
      <c r="H141" s="21" t="s">
        <v>110</v>
      </c>
      <c r="I141" s="22">
        <v>41364.0</v>
      </c>
      <c r="J141" s="23">
        <v>0.0</v>
      </c>
    </row>
    <row r="142">
      <c r="A142" s="20">
        <f t="shared" si="1"/>
        <v>140</v>
      </c>
      <c r="B142" s="21" t="s">
        <v>361</v>
      </c>
      <c r="C142" s="22">
        <v>41356.0</v>
      </c>
      <c r="D142" s="21" t="s">
        <v>21</v>
      </c>
      <c r="E142" s="21" t="s">
        <v>340</v>
      </c>
      <c r="F142" s="21" t="s">
        <v>149</v>
      </c>
      <c r="G142" s="21" t="s">
        <v>362</v>
      </c>
      <c r="H142" s="21" t="s">
        <v>110</v>
      </c>
      <c r="I142" s="22">
        <v>41359.0</v>
      </c>
      <c r="J142" s="23">
        <v>14.95</v>
      </c>
    </row>
    <row r="143">
      <c r="A143" s="30">
        <f t="shared" si="1"/>
        <v>141</v>
      </c>
      <c r="B143" s="31" t="s">
        <v>363</v>
      </c>
      <c r="C143" s="32">
        <v>41319.0</v>
      </c>
      <c r="D143" s="31" t="s">
        <v>21</v>
      </c>
      <c r="E143" s="31" t="s">
        <v>351</v>
      </c>
      <c r="F143" s="31" t="s">
        <v>118</v>
      </c>
      <c r="G143" s="31" t="s">
        <v>364</v>
      </c>
      <c r="H143" s="31" t="s">
        <v>110</v>
      </c>
      <c r="I143" s="32">
        <v>41320.0</v>
      </c>
      <c r="J143" s="33">
        <v>315.61</v>
      </c>
    </row>
  </sheetData>
  <customSheetViews>
    <customSheetView guid="{4A84C196-B509-4160-A9AF-F8AB98F83D93}" filter="1" showAutoFilter="1">
      <autoFilter ref="$A$2:$J$143"/>
      <extLst>
        <ext uri="GoogleSheetsCustomDataVersion1">
          <go:sheetsCustomData xmlns:go="http://customooxmlschemas.google.com/" filterViewId="1302291730"/>
        </ext>
      </extLst>
    </customSheetView>
  </customSheetView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2026-08-24T05:42:00Z</dcterms:created>
  <dc:creator>Dell</dc:creator>
</cp:coreProperties>
</file>